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BUDGET" sheetId="2" state="visible" r:id="rId2"/>
    <sheet xmlns:r="http://schemas.openxmlformats.org/officeDocument/2006/relationships" name="2_TRANSACTIONS" sheetId="3" state="visible" r:id="rId3"/>
    <sheet xmlns:r="http://schemas.openxmlformats.org/officeDocument/2006/relationships" name="3_CASH_FLOW" sheetId="4" state="visible" r:id="rId4"/>
    <sheet xmlns:r="http://schemas.openxmlformats.org/officeDocument/2006/relationships" name="4_SCENARIOS" sheetId="5" state="visible" r:id="rId5"/>
    <sheet xmlns:r="http://schemas.openxmlformats.org/officeDocument/2006/relationships" name="5_SORTIES_ATTENDUES" sheetId="6" state="visible" r:id="rId6"/>
    <sheet xmlns:r="http://schemas.openxmlformats.org/officeDocument/2006/relationships" name="6_ALERTES_ATTENDUES" sheetId="7" state="visible" r:id="rId7"/>
    <sheet xmlns:r="http://schemas.openxmlformats.org/officeDocument/2006/relationships" name="7_GUIDE_T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FCFA&quot;"/>
    <numFmt numFmtId="165" formatCode="0.0&quot;%&quot;"/>
  </numFmts>
  <fonts count="33">
    <font>
      <name val="Calibri"/>
      <family val="2"/>
      <color theme="1"/>
      <sz val="11"/>
      <scheme val="minor"/>
    </font>
    <font>
      <name val="Arial"/>
      <b val="1"/>
      <color rgb="00C4622D"/>
      <sz val="16"/>
    </font>
    <font>
      <name val="Arial"/>
      <b val="1"/>
      <color rgb="001A1A2E"/>
      <sz val="12"/>
    </font>
    <font>
      <name val="Arial"/>
      <b val="1"/>
      <color rgb="001A1A2E"/>
      <sz val="11"/>
    </font>
    <font>
      <name val="Arial"/>
      <b val="1"/>
      <color rgb="003D5A99"/>
      <sz val="10"/>
    </font>
    <font>
      <name val="Arial"/>
      <color rgb="001A1A2E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2D6A4F"/>
      <sz val="9"/>
    </font>
    <font>
      <name val="Arial"/>
      <color rgb="000000FF"/>
      <sz val="10"/>
    </font>
    <font>
      <name val="Arial"/>
      <b val="1"/>
      <color rgb="00C4622D"/>
      <sz val="9"/>
    </font>
    <font>
      <name val="Arial"/>
      <b val="1"/>
      <color rgb="001A1A2E"/>
      <sz val="10"/>
    </font>
    <font>
      <name val="Arial"/>
      <b val="1"/>
      <color rgb="002D6A4F"/>
    </font>
    <font>
      <name val="Arial"/>
      <b val="1"/>
      <color rgb="00C4622D"/>
    </font>
    <font>
      <name val="Arial"/>
      <b val="1"/>
      <color rgb="00B8963E"/>
    </font>
    <font>
      <name val="Arial"/>
      <b val="1"/>
      <color rgb="00B8963E"/>
      <sz val="12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2D6A4F"/>
      <sz val="8"/>
    </font>
    <font>
      <name val="Arial"/>
      <color rgb="000000FF"/>
      <sz val="9"/>
    </font>
    <font>
      <name val="Arial"/>
      <b val="1"/>
      <color rgb="00C4622D"/>
      <sz val="8"/>
    </font>
    <font>
      <name val="Arial"/>
      <b val="1"/>
      <color rgb="002D6A4F"/>
      <sz val="11"/>
    </font>
    <font>
      <name val="Arial"/>
      <b val="1"/>
      <color rgb="00C4622D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D6A4F"/>
      <sz val="10"/>
    </font>
    <font>
      <name val="Arial"/>
      <color rgb="00B8963E"/>
      <sz val="9"/>
    </font>
    <font>
      <name val="Arial"/>
      <color rgb="00B8963E"/>
      <sz val="10"/>
    </font>
    <font>
      <name val="Arial"/>
      <b val="1"/>
      <color rgb="00C4622D"/>
      <sz val="10"/>
    </font>
    <font>
      <name val="Arial"/>
      <b val="1"/>
      <sz val="10"/>
    </font>
    <font>
      <name val="Arial"/>
      <b val="1"/>
      <color rgb="00C4622D"/>
      <sz val="12"/>
    </font>
    <font>
      <name val="Arial"/>
      <color rgb="002D6A4F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4622D"/>
      </patternFill>
    </fill>
    <fill>
      <patternFill patternType="solid">
        <fgColor rgb="00DFF0E8"/>
      </patternFill>
    </fill>
    <fill>
      <patternFill patternType="solid">
        <fgColor rgb="00F4F1EC"/>
      </patternFill>
    </fill>
    <fill>
      <patternFill patternType="solid">
        <fgColor rgb="00F0E8E2"/>
      </patternFill>
    </fill>
    <fill>
      <patternFill patternType="solid">
        <fgColor rgb="00F5EDD8"/>
      </patternFill>
    </fill>
    <fill>
      <patternFill patternType="solid">
        <fgColor rgb="003D5A99"/>
      </patternFill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 wrapText="1"/>
    </xf>
    <xf numFmtId="0" fontId="8" fillId="4" borderId="0" pivotButton="0" quotePrefix="0" xfId="0"/>
    <xf numFmtId="164" fontId="9" fillId="0" borderId="0" applyAlignment="1" pivotButton="0" quotePrefix="0" xfId="0">
      <alignment horizontal="right"/>
    </xf>
    <xf numFmtId="0" fontId="5" fillId="5" borderId="0" pivotButton="0" quotePrefix="0" xfId="0"/>
    <xf numFmtId="164" fontId="9" fillId="5" borderId="0" applyAlignment="1" pivotButton="0" quotePrefix="0" xfId="0">
      <alignment horizontal="right"/>
    </xf>
    <xf numFmtId="0" fontId="10" fillId="6" borderId="0" pivotButton="0" quotePrefix="0" xfId="0"/>
    <xf numFmtId="0" fontId="11" fillId="4" borderId="0" pivotButton="0" quotePrefix="0" xfId="0"/>
    <xf numFmtId="164" fontId="12" fillId="0" borderId="0" pivotButton="0" quotePrefix="0" xfId="0"/>
    <xf numFmtId="0" fontId="11" fillId="6" borderId="0" pivotButton="0" quotePrefix="0" xfId="0"/>
    <xf numFmtId="164" fontId="13" fillId="0" borderId="0" pivotButton="0" quotePrefix="0" xfId="0"/>
    <xf numFmtId="0" fontId="14" fillId="7" borderId="0" pivotButton="0" quotePrefix="0" xfId="0"/>
    <xf numFmtId="164" fontId="15" fillId="0" borderId="0" pivotButton="0" quotePrefix="0" xfId="0"/>
    <xf numFmtId="0" fontId="14" fillId="0" borderId="0" pivotButton="0" quotePrefix="0" xfId="0"/>
    <xf numFmtId="0" fontId="16" fillId="2" borderId="0" applyAlignment="1" pivotButton="0" quotePrefix="0" xfId="0">
      <alignment horizontal="center"/>
    </xf>
    <xf numFmtId="0" fontId="7" fillId="8" borderId="0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/>
    </xf>
    <xf numFmtId="0" fontId="18" fillId="5" borderId="0" pivotButton="0" quotePrefix="0" xfId="0"/>
    <xf numFmtId="0" fontId="19" fillId="4" borderId="0" pivotButton="0" quotePrefix="0" xfId="0"/>
    <xf numFmtId="3" fontId="20" fillId="5" borderId="0" applyAlignment="1" pivotButton="0" quotePrefix="0" xfId="0">
      <alignment horizontal="right"/>
    </xf>
    <xf numFmtId="0" fontId="18" fillId="0" borderId="0" pivotButton="0" quotePrefix="0" xfId="0"/>
    <xf numFmtId="3" fontId="20" fillId="0" borderId="0" applyAlignment="1" pivotButton="0" quotePrefix="0" xfId="0">
      <alignment horizontal="right"/>
    </xf>
    <xf numFmtId="0" fontId="21" fillId="6" borderId="0" pivotButton="0" quotePrefix="0" xfId="0"/>
    <xf numFmtId="0" fontId="12" fillId="4" borderId="0" pivotButton="0" quotePrefix="0" xfId="0"/>
    <xf numFmtId="164" fontId="22" fillId="0" borderId="0" pivotButton="0" quotePrefix="0" xfId="0"/>
    <xf numFmtId="0" fontId="13" fillId="6" borderId="0" pivotButton="0" quotePrefix="0" xfId="0"/>
    <xf numFmtId="164" fontId="23" fillId="0" borderId="0" pivotButton="0" quotePrefix="0" xfId="0"/>
    <xf numFmtId="0" fontId="7" fillId="9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15" fillId="0" borderId="0" pivotButton="0" quotePrefix="0" xfId="0"/>
    <xf numFmtId="165" fontId="9" fillId="0" borderId="0" applyAlignment="1" pivotButton="0" quotePrefix="0" xfId="0">
      <alignment horizontal="center"/>
    </xf>
    <xf numFmtId="165" fontId="9" fillId="5" borderId="0" applyAlignment="1" pivotButton="0" quotePrefix="0" xfId="0">
      <alignment horizontal="center"/>
    </xf>
    <xf numFmtId="3" fontId="9" fillId="5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0" fontId="24" fillId="5" borderId="0" pivotButton="0" quotePrefix="0" xfId="0"/>
    <xf numFmtId="3" fontId="24" fillId="5" borderId="0" pivotButton="0" quotePrefix="0" xfId="0"/>
    <xf numFmtId="0" fontId="25" fillId="3" borderId="0" applyAlignment="1" pivotButton="0" quotePrefix="0" xfId="0">
      <alignment horizontal="left" indent="1"/>
    </xf>
    <xf numFmtId="0" fontId="17" fillId="8" borderId="0" applyAlignment="1" pivotButton="0" quotePrefix="0" xfId="0">
      <alignment horizontal="center" vertical="center" wrapText="1"/>
    </xf>
    <xf numFmtId="0" fontId="26" fillId="0" borderId="0" pivotButton="0" quotePrefix="0" xfId="0"/>
    <xf numFmtId="0" fontId="27" fillId="0" borderId="0" pivotButton="0" quotePrefix="0" xfId="0"/>
    <xf numFmtId="0" fontId="26" fillId="5" borderId="0" pivotButton="0" quotePrefix="0" xfId="0"/>
    <xf numFmtId="0" fontId="27" fillId="5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28" fillId="5" borderId="0" pivotButton="0" quotePrefix="0" xfId="0"/>
    <xf numFmtId="0" fontId="29" fillId="5" borderId="0" pivotButton="0" quotePrefix="0" xfId="0"/>
    <xf numFmtId="0" fontId="31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top" wrapText="1"/>
    </xf>
    <xf numFmtId="0" fontId="32" fillId="0" borderId="0" applyAlignment="1" pivotButton="0" quotePrefix="0" xfId="0">
      <alignment vertical="top" wrapText="1"/>
    </xf>
    <xf numFmtId="0" fontId="31" fillId="5" borderId="0" applyAlignment="1" pivotButton="0" quotePrefix="0" xfId="0">
      <alignment horizontal="center" vertical="center"/>
    </xf>
    <xf numFmtId="0" fontId="24" fillId="5" borderId="0" applyAlignment="1" pivotButton="0" quotePrefix="0" xfId="0">
      <alignment vertical="top" wrapText="1"/>
    </xf>
    <xf numFmtId="0" fontId="3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0" customHeight="1">
      <c r="A1" s="1" t="inlineStr">
        <is>
          <t>JUPITER_PLAN — CAHIER DE TEST</t>
        </is>
      </c>
    </row>
    <row r="2">
      <c r="A2" s="2" t="inlineStr">
        <is>
          <t>PME Test : SARL Industrie Sénégal</t>
        </is>
      </c>
    </row>
    <row r="3">
      <c r="A3" t="inlineStr">
        <is>
          <t>Secteur : Industrie légère (transformation alimentaire)</t>
        </is>
      </c>
    </row>
    <row r="4">
      <c r="A4" t="inlineStr">
        <is>
          <t>CA cible : 600–800M FCFA/an</t>
        </is>
      </c>
    </row>
    <row r="5">
      <c r="A5" t="inlineStr">
        <is>
          <t>Exercice : FY2026 (Janvier → Décembre)</t>
        </is>
      </c>
    </row>
    <row r="7">
      <c r="A7" s="3" t="inlineStr">
        <is>
          <t>FEUILLES DU FICHIER</t>
        </is>
      </c>
    </row>
    <row r="9">
      <c r="A9" s="4" t="inlineStr">
        <is>
          <t>1_BUDGET</t>
        </is>
      </c>
      <c r="B9" s="5" t="inlineStr">
        <is>
          <t>Lignes budgétaires à saisir dans Jupiter_Plan</t>
        </is>
      </c>
    </row>
    <row r="10">
      <c r="A10" s="4" t="inlineStr">
        <is>
          <t>2_TRANSACTIONS</t>
        </is>
      </c>
      <c r="B10" s="5" t="inlineStr">
        <is>
          <t>Transactions mensuelles à importer (Excel import)</t>
        </is>
      </c>
    </row>
    <row r="11">
      <c r="A11" s="4" t="inlineStr">
        <is>
          <t>3_CASH_FLOW</t>
        </is>
      </c>
      <c r="B11" s="5" t="inlineStr">
        <is>
          <t>Flux de trésorerie planifiés à saisir</t>
        </is>
      </c>
    </row>
    <row r="12">
      <c r="A12" s="4" t="inlineStr">
        <is>
          <t>4_SCENARIOS</t>
        </is>
      </c>
      <c r="B12" s="5" t="inlineStr">
        <is>
          <t>Hypothèses pour 3 scénarios</t>
        </is>
      </c>
    </row>
    <row r="13">
      <c r="A13" s="4" t="inlineStr">
        <is>
          <t>5_SORTIES_ATTENDUES</t>
        </is>
      </c>
      <c r="B13" s="5" t="inlineStr">
        <is>
          <t>KPIs et états financiers attendus</t>
        </is>
      </c>
    </row>
    <row r="14">
      <c r="A14" s="4" t="inlineStr">
        <is>
          <t>6_ALERTES_ATTENDUES</t>
        </is>
      </c>
      <c r="B14" s="5" t="inlineStr">
        <is>
          <t>Alertes qui doivent se déclencher</t>
        </is>
      </c>
    </row>
    <row r="15">
      <c r="A15" s="4" t="inlineStr">
        <is>
          <t>7_GUIDE_TEST</t>
        </is>
      </c>
      <c r="B15" s="5" t="inlineStr">
        <is>
          <t>Procédure de test étape par étape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2" customWidth="1" min="4" max="4"/>
    <col width="20" customWidth="1" min="5" max="5"/>
    <col width="15" customWidth="1" min="6" max="6"/>
  </cols>
  <sheetData>
    <row r="1" ht="30" customHeight="1">
      <c r="A1" s="6" t="inlineStr">
        <is>
          <t>BUDGET FY2026 — SARL Industrie Sénégal</t>
        </is>
      </c>
    </row>
    <row r="2" ht="25" customHeight="1">
      <c r="A2" s="7" t="inlineStr">
        <is>
          <t>Code</t>
        </is>
      </c>
      <c r="B2" s="7" t="inlineStr">
        <is>
          <t>Libellé</t>
        </is>
      </c>
      <c r="C2" s="7" t="inlineStr">
        <is>
          <t>Département</t>
        </is>
      </c>
      <c r="D2" s="7" t="inlineStr">
        <is>
          <t>Type</t>
        </is>
      </c>
      <c r="E2" s="7" t="inlineStr">
        <is>
          <t>Montant Budget (FCFA)</t>
        </is>
      </c>
      <c r="F2" s="7" t="inlineStr">
        <is>
          <t>Période</t>
        </is>
      </c>
    </row>
    <row r="3" ht="20" customHeight="1">
      <c r="A3" s="5" t="inlineStr">
        <is>
          <t>701100</t>
        </is>
      </c>
      <c r="B3" s="5" t="inlineStr">
        <is>
          <t>Ventes produits transformés locaux</t>
        </is>
      </c>
      <c r="C3" s="5" t="inlineStr">
        <is>
          <t>VENTES</t>
        </is>
      </c>
      <c r="D3" s="8" t="inlineStr">
        <is>
          <t>REVENUE</t>
        </is>
      </c>
      <c r="E3" s="9" t="n">
        <v>280000000</v>
      </c>
      <c r="F3" s="5" t="inlineStr">
        <is>
          <t>P01-P12</t>
        </is>
      </c>
    </row>
    <row r="4" ht="20" customHeight="1">
      <c r="A4" s="10" t="inlineStr">
        <is>
          <t>701200</t>
        </is>
      </c>
      <c r="B4" s="10" t="inlineStr">
        <is>
          <t>Ventes produits export UEMOA</t>
        </is>
      </c>
      <c r="C4" s="10" t="inlineStr">
        <is>
          <t>VENTES</t>
        </is>
      </c>
      <c r="D4" s="8" t="inlineStr">
        <is>
          <t>REVENUE</t>
        </is>
      </c>
      <c r="E4" s="11" t="n">
        <v>120000000</v>
      </c>
      <c r="F4" s="10" t="inlineStr">
        <is>
          <t>P01-P12</t>
        </is>
      </c>
    </row>
    <row r="5" ht="20" customHeight="1">
      <c r="A5" s="5" t="inlineStr">
        <is>
          <t>702000</t>
        </is>
      </c>
      <c r="B5" s="5" t="inlineStr">
        <is>
          <t>Ventes produits fabriqués</t>
        </is>
      </c>
      <c r="C5" s="5" t="inlineStr">
        <is>
          <t>PRODUCTION</t>
        </is>
      </c>
      <c r="D5" s="8" t="inlineStr">
        <is>
          <t>REVENUE</t>
        </is>
      </c>
      <c r="E5" s="9" t="n">
        <v>80000000</v>
      </c>
      <c r="F5" s="5" t="inlineStr">
        <is>
          <t>P01-P12</t>
        </is>
      </c>
    </row>
    <row r="6" ht="20" customHeight="1">
      <c r="A6" s="10" t="inlineStr">
        <is>
          <t>706000</t>
        </is>
      </c>
      <c r="B6" s="10" t="inlineStr">
        <is>
          <t>Prestations de services</t>
        </is>
      </c>
      <c r="C6" s="10" t="inlineStr">
        <is>
          <t>SERVICES</t>
        </is>
      </c>
      <c r="D6" s="8" t="inlineStr">
        <is>
          <t>REVENUE</t>
        </is>
      </c>
      <c r="E6" s="11" t="n">
        <v>40000000</v>
      </c>
      <c r="F6" s="10" t="inlineStr">
        <is>
          <t>P01-P12</t>
        </is>
      </c>
    </row>
    <row r="7" ht="20" customHeight="1">
      <c r="A7" s="5" t="inlineStr">
        <is>
          <t>707000</t>
        </is>
      </c>
      <c r="B7" s="5" t="inlineStr">
        <is>
          <t>Ventes de déchets et sous-produits</t>
        </is>
      </c>
      <c r="C7" s="5" t="inlineStr">
        <is>
          <t>PRODUCTION</t>
        </is>
      </c>
      <c r="D7" s="8" t="inlineStr">
        <is>
          <t>REVENUE</t>
        </is>
      </c>
      <c r="E7" s="9" t="n">
        <v>15000000</v>
      </c>
      <c r="F7" s="5" t="inlineStr">
        <is>
          <t>P01-P12</t>
        </is>
      </c>
    </row>
    <row r="8" ht="20" customHeight="1">
      <c r="A8" s="10" t="inlineStr">
        <is>
          <t>601000</t>
        </is>
      </c>
      <c r="B8" s="10" t="inlineStr">
        <is>
          <t>Achats matières premières</t>
        </is>
      </c>
      <c r="C8" s="10" t="inlineStr">
        <is>
          <t>PRODUCTION</t>
        </is>
      </c>
      <c r="D8" s="12" t="inlineStr">
        <is>
          <t>EXPENSE</t>
        </is>
      </c>
      <c r="E8" s="11" t="n">
        <v>180000000</v>
      </c>
      <c r="F8" s="10" t="inlineStr">
        <is>
          <t>P01-P12</t>
        </is>
      </c>
    </row>
    <row r="9" ht="20" customHeight="1">
      <c r="A9" s="5" t="inlineStr">
        <is>
          <t>602000</t>
        </is>
      </c>
      <c r="B9" s="5" t="inlineStr">
        <is>
          <t>Achats fournitures de production</t>
        </is>
      </c>
      <c r="C9" s="5" t="inlineStr">
        <is>
          <t>PRODUCTION</t>
        </is>
      </c>
      <c r="D9" s="12" t="inlineStr">
        <is>
          <t>EXPENSE</t>
        </is>
      </c>
      <c r="E9" s="9" t="n">
        <v>45000000</v>
      </c>
      <c r="F9" s="5" t="inlineStr">
        <is>
          <t>P01-P12</t>
        </is>
      </c>
    </row>
    <row r="10" ht="20" customHeight="1">
      <c r="A10" s="10" t="inlineStr">
        <is>
          <t>604000</t>
        </is>
      </c>
      <c r="B10" s="10" t="inlineStr">
        <is>
          <t>Achats consommables</t>
        </is>
      </c>
      <c r="C10" s="10" t="inlineStr">
        <is>
          <t>PRODUCTION</t>
        </is>
      </c>
      <c r="D10" s="12" t="inlineStr">
        <is>
          <t>EXPENSE</t>
        </is>
      </c>
      <c r="E10" s="11" t="n">
        <v>20000000</v>
      </c>
      <c r="F10" s="10" t="inlineStr">
        <is>
          <t>P01-P12</t>
        </is>
      </c>
    </row>
    <row r="11" ht="20" customHeight="1">
      <c r="A11" s="5" t="inlineStr">
        <is>
          <t>621100</t>
        </is>
      </c>
      <c r="B11" s="5" t="inlineStr">
        <is>
          <t>Salaires et traitements</t>
        </is>
      </c>
      <c r="C11" s="5" t="inlineStr">
        <is>
          <t>RH</t>
        </is>
      </c>
      <c r="D11" s="12" t="inlineStr">
        <is>
          <t>EXPENSE</t>
        </is>
      </c>
      <c r="E11" s="9" t="n">
        <v>95000000</v>
      </c>
      <c r="F11" s="5" t="inlineStr">
        <is>
          <t>P01-P12</t>
        </is>
      </c>
    </row>
    <row r="12" ht="20" customHeight="1">
      <c r="A12" s="10" t="inlineStr">
        <is>
          <t>625100</t>
        </is>
      </c>
      <c r="B12" s="10" t="inlineStr">
        <is>
          <t>Transport et fret</t>
        </is>
      </c>
      <c r="C12" s="10" t="inlineStr">
        <is>
          <t>LOGISTIQUE</t>
        </is>
      </c>
      <c r="D12" s="12" t="inlineStr">
        <is>
          <t>EXPENSE</t>
        </is>
      </c>
      <c r="E12" s="11" t="n">
        <v>28000000</v>
      </c>
      <c r="F12" s="10" t="inlineStr">
        <is>
          <t>P01-P12</t>
        </is>
      </c>
    </row>
    <row r="13" ht="20" customHeight="1">
      <c r="A13" s="5" t="inlineStr">
        <is>
          <t>623400</t>
        </is>
      </c>
      <c r="B13" s="5" t="inlineStr">
        <is>
          <t>Marketing et communication</t>
        </is>
      </c>
      <c r="C13" s="5" t="inlineStr">
        <is>
          <t>MARKETING</t>
        </is>
      </c>
      <c r="D13" s="12" t="inlineStr">
        <is>
          <t>EXPENSE</t>
        </is>
      </c>
      <c r="E13" s="9" t="n">
        <v>18000000</v>
      </c>
      <c r="F13" s="5" t="inlineStr">
        <is>
          <t>P01-P12</t>
        </is>
      </c>
    </row>
    <row r="14" ht="20" customHeight="1">
      <c r="A14" s="10" t="inlineStr">
        <is>
          <t>627000</t>
        </is>
      </c>
      <c r="B14" s="10" t="inlineStr">
        <is>
          <t>Frais bancaires et financiers</t>
        </is>
      </c>
      <c r="C14" s="10" t="inlineStr">
        <is>
          <t>FINANCE</t>
        </is>
      </c>
      <c r="D14" s="12" t="inlineStr">
        <is>
          <t>EXPENSE</t>
        </is>
      </c>
      <c r="E14" s="11" t="n">
        <v>8000000</v>
      </c>
      <c r="F14" s="10" t="inlineStr">
        <is>
          <t>P01-P12</t>
        </is>
      </c>
    </row>
    <row r="15" ht="20" customHeight="1">
      <c r="A15" s="5" t="inlineStr">
        <is>
          <t>628000</t>
        </is>
      </c>
      <c r="B15" s="5" t="inlineStr">
        <is>
          <t>Divers services extérieurs</t>
        </is>
      </c>
      <c r="C15" s="5" t="inlineStr">
        <is>
          <t>OPERATIONS</t>
        </is>
      </c>
      <c r="D15" s="12" t="inlineStr">
        <is>
          <t>EXPENSE</t>
        </is>
      </c>
      <c r="E15" s="9" t="n">
        <v>12000000</v>
      </c>
      <c r="F15" s="5" t="inlineStr">
        <is>
          <t>P01-P12</t>
        </is>
      </c>
    </row>
    <row r="16" ht="20" customHeight="1">
      <c r="A16" s="10" t="inlineStr">
        <is>
          <t>681000</t>
        </is>
      </c>
      <c r="B16" s="10" t="inlineStr">
        <is>
          <t>Dotations amortissements</t>
        </is>
      </c>
      <c r="C16" s="10" t="inlineStr">
        <is>
          <t>FINANCE</t>
        </is>
      </c>
      <c r="D16" s="12" t="inlineStr">
        <is>
          <t>EXPENSE</t>
        </is>
      </c>
      <c r="E16" s="11" t="n">
        <v>22000000</v>
      </c>
      <c r="F16" s="10" t="inlineStr">
        <is>
          <t>P01-P12</t>
        </is>
      </c>
    </row>
    <row r="17" ht="20" customHeight="1">
      <c r="A17" s="5" t="inlineStr">
        <is>
          <t>218300</t>
        </is>
      </c>
      <c r="B17" s="5" t="inlineStr">
        <is>
          <t>Matériel informatique</t>
        </is>
      </c>
      <c r="C17" s="5" t="inlineStr">
        <is>
          <t>IT</t>
        </is>
      </c>
      <c r="D17" s="12" t="inlineStr">
        <is>
          <t>EXPENSE</t>
        </is>
      </c>
      <c r="E17" s="9" t="n">
        <v>6000000</v>
      </c>
      <c r="F17" s="5" t="inlineStr">
        <is>
          <t>P01-P12</t>
        </is>
      </c>
    </row>
    <row r="18" ht="20" customHeight="1">
      <c r="A18" s="10" t="inlineStr">
        <is>
          <t>215000</t>
        </is>
      </c>
      <c r="B18" s="10" t="inlineStr">
        <is>
          <t>Équipements de production</t>
        </is>
      </c>
      <c r="C18" s="10" t="inlineStr">
        <is>
          <t>PRODUCTION</t>
        </is>
      </c>
      <c r="D18" s="12" t="inlineStr">
        <is>
          <t>EXPENSE</t>
        </is>
      </c>
      <c r="E18" s="11" t="n">
        <v>35000000</v>
      </c>
      <c r="F18" s="10" t="inlineStr">
        <is>
          <t>P01-P12</t>
        </is>
      </c>
    </row>
    <row r="19" ht="20" customHeight="1">
      <c r="A19" s="5" t="inlineStr">
        <is>
          <t>631000</t>
        </is>
      </c>
      <c r="B19" s="5" t="inlineStr">
        <is>
          <t>Impôts et taxes</t>
        </is>
      </c>
      <c r="C19" s="5" t="inlineStr">
        <is>
          <t>FINANCE</t>
        </is>
      </c>
      <c r="D19" s="12" t="inlineStr">
        <is>
          <t>EXPENSE</t>
        </is>
      </c>
      <c r="E19" s="9" t="n">
        <v>15000000</v>
      </c>
      <c r="F19" s="5" t="inlineStr">
        <is>
          <t>P01-P12</t>
        </is>
      </c>
    </row>
    <row r="20">
      <c r="A20" s="13" t="inlineStr">
        <is>
          <t>TOTAL REVENUS</t>
        </is>
      </c>
      <c r="E20" s="14" t="n">
        <v>535000000</v>
      </c>
    </row>
    <row r="21">
      <c r="A21" s="15" t="inlineStr">
        <is>
          <t>TOTAL CHARGES</t>
        </is>
      </c>
      <c r="E21" s="16" t="n">
        <v>484000000</v>
      </c>
    </row>
    <row r="22">
      <c r="A22" s="17" t="inlineStr">
        <is>
          <t>EBITDA BUDGÉTÉ (Revenus - Charges)</t>
        </is>
      </c>
      <c r="E22" s="18" t="n">
        <v>51000000</v>
      </c>
      <c r="F22" s="19" t="inlineStr">
        <is>
          <t>Marge: 9.5%</t>
        </is>
      </c>
    </row>
  </sheetData>
  <mergeCells count="4">
    <mergeCell ref="A22:D22"/>
    <mergeCell ref="A1:F1"/>
    <mergeCell ref="A20:D20"/>
    <mergeCell ref="A21:D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5" customWidth="1" min="4" max="4"/>
    <col width="12" customWidth="1" min="5" max="5"/>
    <col width="18" customWidth="1" min="6" max="6"/>
    <col width="30" customWidth="1" min="7" max="7"/>
  </cols>
  <sheetData>
    <row r="1" ht="28" customHeight="1">
      <c r="A1" s="20" t="inlineStr">
        <is>
          <t>TRANSACTIONS FY2026 — Format Import Jupiter_Plan</t>
        </is>
      </c>
    </row>
    <row r="2" ht="22" customHeight="1">
      <c r="A2" s="21" t="inlineStr">
        <is>
          <t>transaction_date</t>
        </is>
      </c>
      <c r="B2" s="21" t="inlineStr">
        <is>
          <t>account_code</t>
        </is>
      </c>
      <c r="C2" s="21" t="inlineStr">
        <is>
          <t>account_label</t>
        </is>
      </c>
      <c r="D2" s="21" t="inlineStr">
        <is>
          <t>department</t>
        </is>
      </c>
      <c r="E2" s="21" t="inlineStr">
        <is>
          <t>line_type</t>
        </is>
      </c>
      <c r="F2" s="21" t="inlineStr">
        <is>
          <t>amount</t>
        </is>
      </c>
      <c r="G2" s="21" t="inlineStr">
        <is>
          <t>notes</t>
        </is>
      </c>
    </row>
    <row r="3" ht="18" customHeight="1">
      <c r="A3" s="22" t="inlineStr">
        <is>
          <t>── Janvier 2026 ──</t>
        </is>
      </c>
    </row>
    <row r="4" ht="16" customHeight="1">
      <c r="A4" s="23" t="inlineStr">
        <is>
          <t>2026-01-15</t>
        </is>
      </c>
      <c r="B4" s="23" t="inlineStr">
        <is>
          <t>701100</t>
        </is>
      </c>
      <c r="C4" s="23" t="inlineStr">
        <is>
          <t>Ventes produits transformés Jan S1</t>
        </is>
      </c>
      <c r="D4" s="23" t="inlineStr">
        <is>
          <t>VENTES</t>
        </is>
      </c>
      <c r="E4" s="24" t="inlineStr">
        <is>
          <t>REVENUE</t>
        </is>
      </c>
      <c r="F4" s="25" t="n">
        <v>21500000</v>
      </c>
      <c r="G4" s="23" t="inlineStr"/>
    </row>
    <row r="5" ht="16" customHeight="1">
      <c r="A5" s="26" t="inlineStr">
        <is>
          <t>2026-01-15</t>
        </is>
      </c>
      <c r="B5" s="26" t="inlineStr">
        <is>
          <t>701100</t>
        </is>
      </c>
      <c r="C5" s="26" t="inlineStr">
        <is>
          <t>Ventes produits transformés Jan S2</t>
        </is>
      </c>
      <c r="D5" s="26" t="inlineStr">
        <is>
          <t>VENTES</t>
        </is>
      </c>
      <c r="E5" s="24" t="inlineStr">
        <is>
          <t>REVENUE</t>
        </is>
      </c>
      <c r="F5" s="27" t="n">
        <v>19800000</v>
      </c>
      <c r="G5" s="26" t="inlineStr"/>
    </row>
    <row r="6" ht="16" customHeight="1">
      <c r="A6" s="23" t="inlineStr">
        <is>
          <t>2026-01-15</t>
        </is>
      </c>
      <c r="B6" s="23" t="inlineStr">
        <is>
          <t>701200</t>
        </is>
      </c>
      <c r="C6" s="23" t="inlineStr">
        <is>
          <t>Export UEMOA Janvier</t>
        </is>
      </c>
      <c r="D6" s="23" t="inlineStr">
        <is>
          <t>VENTES</t>
        </is>
      </c>
      <c r="E6" s="24" t="inlineStr">
        <is>
          <t>REVENUE</t>
        </is>
      </c>
      <c r="F6" s="25" t="n">
        <v>9500000</v>
      </c>
      <c r="G6" s="23" t="inlineStr"/>
    </row>
    <row r="7" ht="16" customHeight="1">
      <c r="A7" s="26" t="inlineStr">
        <is>
          <t>2026-01-15</t>
        </is>
      </c>
      <c r="B7" s="26" t="inlineStr">
        <is>
          <t>702000</t>
        </is>
      </c>
      <c r="C7" s="26" t="inlineStr">
        <is>
          <t>Produits fabriqués Janvier</t>
        </is>
      </c>
      <c r="D7" s="26" t="inlineStr">
        <is>
          <t>PRODUCTION</t>
        </is>
      </c>
      <c r="E7" s="24" t="inlineStr">
        <is>
          <t>REVENUE</t>
        </is>
      </c>
      <c r="F7" s="27" t="n">
        <v>6200000</v>
      </c>
      <c r="G7" s="26" t="inlineStr"/>
    </row>
    <row r="8" ht="16" customHeight="1">
      <c r="A8" s="23" t="inlineStr">
        <is>
          <t>2026-01-15</t>
        </is>
      </c>
      <c r="B8" s="23" t="inlineStr">
        <is>
          <t>601000</t>
        </is>
      </c>
      <c r="C8" s="23" t="inlineStr">
        <is>
          <t>Achats MP Fournisseur A Jan</t>
        </is>
      </c>
      <c r="D8" s="23" t="inlineStr">
        <is>
          <t>PRODUCTION</t>
        </is>
      </c>
      <c r="E8" s="28" t="inlineStr">
        <is>
          <t>EXPENSE</t>
        </is>
      </c>
      <c r="F8" s="25" t="n">
        <v>14500000</v>
      </c>
      <c r="G8" s="23" t="inlineStr"/>
    </row>
    <row r="9" ht="16" customHeight="1">
      <c r="A9" s="26" t="inlineStr">
        <is>
          <t>2026-01-15</t>
        </is>
      </c>
      <c r="B9" s="26" t="inlineStr">
        <is>
          <t>601000</t>
        </is>
      </c>
      <c r="C9" s="26" t="inlineStr">
        <is>
          <t>Achats MP Fournisseur B Jan</t>
        </is>
      </c>
      <c r="D9" s="26" t="inlineStr">
        <is>
          <t>PRODUCTION</t>
        </is>
      </c>
      <c r="E9" s="28" t="inlineStr">
        <is>
          <t>EXPENSE</t>
        </is>
      </c>
      <c r="F9" s="27" t="n">
        <v>10200000</v>
      </c>
      <c r="G9" s="26" t="inlineStr"/>
    </row>
    <row r="10" ht="16" customHeight="1">
      <c r="A10" s="23" t="inlineStr">
        <is>
          <t>2026-01-15</t>
        </is>
      </c>
      <c r="B10" s="23" t="inlineStr">
        <is>
          <t>621100</t>
        </is>
      </c>
      <c r="C10" s="23" t="inlineStr">
        <is>
          <t>Salaires Janvier</t>
        </is>
      </c>
      <c r="D10" s="23" t="inlineStr">
        <is>
          <t>RH</t>
        </is>
      </c>
      <c r="E10" s="28" t="inlineStr">
        <is>
          <t>EXPENSE</t>
        </is>
      </c>
      <c r="F10" s="25" t="n">
        <v>7916667</v>
      </c>
      <c r="G10" s="23" t="inlineStr"/>
    </row>
    <row r="11" ht="16" customHeight="1">
      <c r="A11" s="26" t="inlineStr">
        <is>
          <t>2026-01-15</t>
        </is>
      </c>
      <c r="B11" s="26" t="inlineStr">
        <is>
          <t>625100</t>
        </is>
      </c>
      <c r="C11" s="26" t="inlineStr">
        <is>
          <t>Transport et fret Janvier</t>
        </is>
      </c>
      <c r="D11" s="26" t="inlineStr">
        <is>
          <t>LOGISTIQUE</t>
        </is>
      </c>
      <c r="E11" s="28" t="inlineStr">
        <is>
          <t>EXPENSE</t>
        </is>
      </c>
      <c r="F11" s="27" t="n">
        <v>2333333</v>
      </c>
      <c r="G11" s="26" t="inlineStr"/>
    </row>
    <row r="12" ht="16" customHeight="1">
      <c r="A12" s="23" t="inlineStr">
        <is>
          <t>2026-01-15</t>
        </is>
      </c>
      <c r="B12" s="23" t="inlineStr">
        <is>
          <t>627000</t>
        </is>
      </c>
      <c r="C12" s="23" t="inlineStr">
        <is>
          <t>Frais bancaires Janvier</t>
        </is>
      </c>
      <c r="D12" s="23" t="inlineStr">
        <is>
          <t>FINANCE</t>
        </is>
      </c>
      <c r="E12" s="28" t="inlineStr">
        <is>
          <t>EXPENSE</t>
        </is>
      </c>
      <c r="F12" s="25" t="n">
        <v>666667</v>
      </c>
      <c r="G12" s="23" t="inlineStr"/>
    </row>
    <row r="13" ht="18" customHeight="1">
      <c r="A13" s="22" t="inlineStr">
        <is>
          <t>── Février 2026 ──</t>
        </is>
      </c>
    </row>
    <row r="14" ht="16" customHeight="1">
      <c r="A14" s="23" t="inlineStr">
        <is>
          <t>2026-02-15</t>
        </is>
      </c>
      <c r="B14" s="23" t="inlineStr">
        <is>
          <t>701100</t>
        </is>
      </c>
      <c r="C14" s="23" t="inlineStr">
        <is>
          <t>Ventes produits transformés Fév</t>
        </is>
      </c>
      <c r="D14" s="23" t="inlineStr">
        <is>
          <t>VENTES</t>
        </is>
      </c>
      <c r="E14" s="24" t="inlineStr">
        <is>
          <t>REVENUE</t>
        </is>
      </c>
      <c r="F14" s="25" t="n">
        <v>22100000</v>
      </c>
      <c r="G14" s="23" t="inlineStr"/>
    </row>
    <row r="15" ht="16" customHeight="1">
      <c r="A15" s="26" t="inlineStr">
        <is>
          <t>2026-02-15</t>
        </is>
      </c>
      <c r="B15" s="26" t="inlineStr">
        <is>
          <t>701200</t>
        </is>
      </c>
      <c r="C15" s="26" t="inlineStr">
        <is>
          <t>Export UEMOA Février</t>
        </is>
      </c>
      <c r="D15" s="26" t="inlineStr">
        <is>
          <t>VENTES</t>
        </is>
      </c>
      <c r="E15" s="24" t="inlineStr">
        <is>
          <t>REVENUE</t>
        </is>
      </c>
      <c r="F15" s="27" t="n">
        <v>9800000</v>
      </c>
      <c r="G15" s="26" t="inlineStr"/>
    </row>
    <row r="16" ht="16" customHeight="1">
      <c r="A16" s="23" t="inlineStr">
        <is>
          <t>2026-02-15</t>
        </is>
      </c>
      <c r="B16" s="23" t="inlineStr">
        <is>
          <t>702000</t>
        </is>
      </c>
      <c r="C16" s="23" t="inlineStr">
        <is>
          <t>Produits fabriqués Février</t>
        </is>
      </c>
      <c r="D16" s="23" t="inlineStr">
        <is>
          <t>PRODUCTION</t>
        </is>
      </c>
      <c r="E16" s="24" t="inlineStr">
        <is>
          <t>REVENUE</t>
        </is>
      </c>
      <c r="F16" s="25" t="n">
        <v>6500000</v>
      </c>
      <c r="G16" s="23" t="inlineStr"/>
    </row>
    <row r="17" ht="16" customHeight="1">
      <c r="A17" s="26" t="inlineStr">
        <is>
          <t>2026-02-15</t>
        </is>
      </c>
      <c r="B17" s="26" t="inlineStr">
        <is>
          <t>706000</t>
        </is>
      </c>
      <c r="C17" s="26" t="inlineStr">
        <is>
          <t>Prestation client SONATEL</t>
        </is>
      </c>
      <c r="D17" s="26" t="inlineStr">
        <is>
          <t>SERVICES</t>
        </is>
      </c>
      <c r="E17" s="24" t="inlineStr">
        <is>
          <t>REVENUE</t>
        </is>
      </c>
      <c r="F17" s="27" t="n">
        <v>3200000</v>
      </c>
      <c r="G17" s="26" t="inlineStr"/>
    </row>
    <row r="18" ht="16" customHeight="1">
      <c r="A18" s="23" t="inlineStr">
        <is>
          <t>2026-02-15</t>
        </is>
      </c>
      <c r="B18" s="23" t="inlineStr">
        <is>
          <t>601000</t>
        </is>
      </c>
      <c r="C18" s="23" t="inlineStr">
        <is>
          <t>Achats MP Février</t>
        </is>
      </c>
      <c r="D18" s="23" t="inlineStr">
        <is>
          <t>PRODUCTION</t>
        </is>
      </c>
      <c r="E18" s="28" t="inlineStr">
        <is>
          <t>EXPENSE</t>
        </is>
      </c>
      <c r="F18" s="25" t="n">
        <v>15200000</v>
      </c>
      <c r="G18" s="23" t="inlineStr"/>
    </row>
    <row r="19" ht="16" customHeight="1">
      <c r="A19" s="26" t="inlineStr">
        <is>
          <t>2026-02-15</t>
        </is>
      </c>
      <c r="B19" s="26" t="inlineStr">
        <is>
          <t>602000</t>
        </is>
      </c>
      <c r="C19" s="26" t="inlineStr">
        <is>
          <t>Fournitures production Fév</t>
        </is>
      </c>
      <c r="D19" s="26" t="inlineStr">
        <is>
          <t>PRODUCTION</t>
        </is>
      </c>
      <c r="E19" s="28" t="inlineStr">
        <is>
          <t>EXPENSE</t>
        </is>
      </c>
      <c r="F19" s="27" t="n">
        <v>3750000</v>
      </c>
      <c r="G19" s="26" t="inlineStr"/>
    </row>
    <row r="20" ht="16" customHeight="1">
      <c r="A20" s="23" t="inlineStr">
        <is>
          <t>2026-02-15</t>
        </is>
      </c>
      <c r="B20" s="23" t="inlineStr">
        <is>
          <t>621100</t>
        </is>
      </c>
      <c r="C20" s="23" t="inlineStr">
        <is>
          <t>Salaires Février</t>
        </is>
      </c>
      <c r="D20" s="23" t="inlineStr">
        <is>
          <t>RH</t>
        </is>
      </c>
      <c r="E20" s="28" t="inlineStr">
        <is>
          <t>EXPENSE</t>
        </is>
      </c>
      <c r="F20" s="25" t="n">
        <v>7916667</v>
      </c>
      <c r="G20" s="23" t="inlineStr"/>
    </row>
    <row r="21" ht="16" customHeight="1">
      <c r="A21" s="26" t="inlineStr">
        <is>
          <t>2026-02-15</t>
        </is>
      </c>
      <c r="B21" s="26" t="inlineStr">
        <is>
          <t>623400</t>
        </is>
      </c>
      <c r="C21" s="26" t="inlineStr">
        <is>
          <t>Campagne marketing Q1</t>
        </is>
      </c>
      <c r="D21" s="26" t="inlineStr">
        <is>
          <t>MARKETING</t>
        </is>
      </c>
      <c r="E21" s="28" t="inlineStr">
        <is>
          <t>EXPENSE</t>
        </is>
      </c>
      <c r="F21" s="27" t="n">
        <v>4500000</v>
      </c>
      <c r="G21" s="26" t="inlineStr"/>
    </row>
    <row r="22" ht="16" customHeight="1">
      <c r="A22" s="23" t="inlineStr">
        <is>
          <t>2026-02-15</t>
        </is>
      </c>
      <c r="B22" s="23" t="inlineStr">
        <is>
          <t>625100</t>
        </is>
      </c>
      <c r="C22" s="23" t="inlineStr">
        <is>
          <t>Transport Février</t>
        </is>
      </c>
      <c r="D22" s="23" t="inlineStr">
        <is>
          <t>LOGISTIQUE</t>
        </is>
      </c>
      <c r="E22" s="28" t="inlineStr">
        <is>
          <t>EXPENSE</t>
        </is>
      </c>
      <c r="F22" s="25" t="n">
        <v>2333333</v>
      </c>
      <c r="G22" s="23" t="inlineStr"/>
    </row>
    <row r="23" ht="18" customHeight="1">
      <c r="A23" s="22" t="inlineStr">
        <is>
          <t>── Mars 2026 ──</t>
        </is>
      </c>
    </row>
    <row r="24" ht="16" customHeight="1">
      <c r="A24" s="23" t="inlineStr">
        <is>
          <t>2026-03-15</t>
        </is>
      </c>
      <c r="B24" s="23" t="inlineStr">
        <is>
          <t>701100</t>
        </is>
      </c>
      <c r="C24" s="23" t="inlineStr">
        <is>
          <t>Ventes produits transformés Mars</t>
        </is>
      </c>
      <c r="D24" s="23" t="inlineStr">
        <is>
          <t>VENTES</t>
        </is>
      </c>
      <c r="E24" s="24" t="inlineStr">
        <is>
          <t>REVENUE</t>
        </is>
      </c>
      <c r="F24" s="25" t="n">
        <v>24500000</v>
      </c>
      <c r="G24" s="23" t="inlineStr"/>
    </row>
    <row r="25" ht="16" customHeight="1">
      <c r="A25" s="26" t="inlineStr">
        <is>
          <t>2026-03-15</t>
        </is>
      </c>
      <c r="B25" s="26" t="inlineStr">
        <is>
          <t>701200</t>
        </is>
      </c>
      <c r="C25" s="26" t="inlineStr">
        <is>
          <t>Export UEMOA Mars</t>
        </is>
      </c>
      <c r="D25" s="26" t="inlineStr">
        <is>
          <t>VENTES</t>
        </is>
      </c>
      <c r="E25" s="24" t="inlineStr">
        <is>
          <t>REVENUE</t>
        </is>
      </c>
      <c r="F25" s="27" t="n">
        <v>11200000</v>
      </c>
      <c r="G25" s="26" t="inlineStr"/>
    </row>
    <row r="26" ht="16" customHeight="1">
      <c r="A26" s="23" t="inlineStr">
        <is>
          <t>2026-03-15</t>
        </is>
      </c>
      <c r="B26" s="23" t="inlineStr">
        <is>
          <t>702000</t>
        </is>
      </c>
      <c r="C26" s="23" t="inlineStr">
        <is>
          <t>Produits fabriqués Mars</t>
        </is>
      </c>
      <c r="D26" s="23" t="inlineStr">
        <is>
          <t>PRODUCTION</t>
        </is>
      </c>
      <c r="E26" s="24" t="inlineStr">
        <is>
          <t>REVENUE</t>
        </is>
      </c>
      <c r="F26" s="25" t="n">
        <v>7100000</v>
      </c>
      <c r="G26" s="23" t="inlineStr"/>
    </row>
    <row r="27" ht="16" customHeight="1">
      <c r="A27" s="26" t="inlineStr">
        <is>
          <t>2026-03-15</t>
        </is>
      </c>
      <c r="B27" s="26" t="inlineStr">
        <is>
          <t>707000</t>
        </is>
      </c>
      <c r="C27" s="26" t="inlineStr">
        <is>
          <t>Ventes sous-produits T1</t>
        </is>
      </c>
      <c r="D27" s="26" t="inlineStr">
        <is>
          <t>PRODUCTION</t>
        </is>
      </c>
      <c r="E27" s="24" t="inlineStr">
        <is>
          <t>REVENUE</t>
        </is>
      </c>
      <c r="F27" s="27" t="n">
        <v>1250000</v>
      </c>
      <c r="G27" s="26" t="inlineStr"/>
    </row>
    <row r="28" ht="16" customHeight="1">
      <c r="A28" s="23" t="inlineStr">
        <is>
          <t>2026-03-15</t>
        </is>
      </c>
      <c r="B28" s="23" t="inlineStr">
        <is>
          <t>601000</t>
        </is>
      </c>
      <c r="C28" s="23" t="inlineStr">
        <is>
          <t>Achats MP Mars</t>
        </is>
      </c>
      <c r="D28" s="23" t="inlineStr">
        <is>
          <t>PRODUCTION</t>
        </is>
      </c>
      <c r="E28" s="28" t="inlineStr">
        <is>
          <t>EXPENSE</t>
        </is>
      </c>
      <c r="F28" s="25" t="n">
        <v>16800000</v>
      </c>
      <c r="G28" s="23" t="inlineStr"/>
    </row>
    <row r="29" ht="16" customHeight="1">
      <c r="A29" s="26" t="inlineStr">
        <is>
          <t>2026-03-15</t>
        </is>
      </c>
      <c r="B29" s="26" t="inlineStr">
        <is>
          <t>604000</t>
        </is>
      </c>
      <c r="C29" s="26" t="inlineStr">
        <is>
          <t>Consommables Mars</t>
        </is>
      </c>
      <c r="D29" s="26" t="inlineStr">
        <is>
          <t>PRODUCTION</t>
        </is>
      </c>
      <c r="E29" s="28" t="inlineStr">
        <is>
          <t>EXPENSE</t>
        </is>
      </c>
      <c r="F29" s="27" t="n">
        <v>1666667</v>
      </c>
      <c r="G29" s="26" t="inlineStr"/>
    </row>
    <row r="30" ht="16" customHeight="1">
      <c r="A30" s="23" t="inlineStr">
        <is>
          <t>2026-03-15</t>
        </is>
      </c>
      <c r="B30" s="23" t="inlineStr">
        <is>
          <t>621100</t>
        </is>
      </c>
      <c r="C30" s="23" t="inlineStr">
        <is>
          <t>Salaires Mars</t>
        </is>
      </c>
      <c r="D30" s="23" t="inlineStr">
        <is>
          <t>RH</t>
        </is>
      </c>
      <c r="E30" s="28" t="inlineStr">
        <is>
          <t>EXPENSE</t>
        </is>
      </c>
      <c r="F30" s="25" t="n">
        <v>7916667</v>
      </c>
      <c r="G30" s="23" t="inlineStr"/>
    </row>
    <row r="31" ht="16" customHeight="1">
      <c r="A31" s="26" t="inlineStr">
        <is>
          <t>2026-03-15</t>
        </is>
      </c>
      <c r="B31" s="26" t="inlineStr">
        <is>
          <t>625100</t>
        </is>
      </c>
      <c r="C31" s="26" t="inlineStr">
        <is>
          <t>Transport Mars</t>
        </is>
      </c>
      <c r="D31" s="26" t="inlineStr">
        <is>
          <t>LOGISTIQUE</t>
        </is>
      </c>
      <c r="E31" s="28" t="inlineStr">
        <is>
          <t>EXPENSE</t>
        </is>
      </c>
      <c r="F31" s="27" t="n">
        <v>2333333</v>
      </c>
      <c r="G31" s="26" t="inlineStr"/>
    </row>
    <row r="32" ht="16" customHeight="1">
      <c r="A32" s="23" t="inlineStr">
        <is>
          <t>2026-03-15</t>
        </is>
      </c>
      <c r="B32" s="23" t="inlineStr">
        <is>
          <t>631000</t>
        </is>
      </c>
      <c r="C32" s="23" t="inlineStr">
        <is>
          <t>TVA T1 et impôts</t>
        </is>
      </c>
      <c r="D32" s="23" t="inlineStr">
        <is>
          <t>FINANCE</t>
        </is>
      </c>
      <c r="E32" s="28" t="inlineStr">
        <is>
          <t>EXPENSE</t>
        </is>
      </c>
      <c r="F32" s="25" t="n">
        <v>3750000</v>
      </c>
      <c r="G32" s="23" t="inlineStr"/>
    </row>
    <row r="33" ht="18" customHeight="1">
      <c r="A33" s="22" t="inlineStr">
        <is>
          <t>── Avril 2026 ──</t>
        </is>
      </c>
    </row>
    <row r="34" ht="16" customHeight="1">
      <c r="A34" s="23" t="inlineStr">
        <is>
          <t>2026-04-15</t>
        </is>
      </c>
      <c r="B34" s="23" t="inlineStr">
        <is>
          <t>701100</t>
        </is>
      </c>
      <c r="C34" s="23" t="inlineStr">
        <is>
          <t>Ventes produits transformés Avr</t>
        </is>
      </c>
      <c r="D34" s="23" t="inlineStr">
        <is>
          <t>VENTES</t>
        </is>
      </c>
      <c r="E34" s="24" t="inlineStr">
        <is>
          <t>REVENUE</t>
        </is>
      </c>
      <c r="F34" s="25" t="n">
        <v>23200000</v>
      </c>
      <c r="G34" s="23" t="inlineStr"/>
    </row>
    <row r="35" ht="16" customHeight="1">
      <c r="A35" s="26" t="inlineStr">
        <is>
          <t>2026-04-15</t>
        </is>
      </c>
      <c r="B35" s="26" t="inlineStr">
        <is>
          <t>701200</t>
        </is>
      </c>
      <c r="C35" s="26" t="inlineStr">
        <is>
          <t>Export UEMOA Avril</t>
        </is>
      </c>
      <c r="D35" s="26" t="inlineStr">
        <is>
          <t>VENTES</t>
        </is>
      </c>
      <c r="E35" s="24" t="inlineStr">
        <is>
          <t>REVENUE</t>
        </is>
      </c>
      <c r="F35" s="27" t="n">
        <v>10500000</v>
      </c>
      <c r="G35" s="26" t="inlineStr"/>
    </row>
    <row r="36" ht="16" customHeight="1">
      <c r="A36" s="23" t="inlineStr">
        <is>
          <t>2026-04-15</t>
        </is>
      </c>
      <c r="B36" s="23" t="inlineStr">
        <is>
          <t>706000</t>
        </is>
      </c>
      <c r="C36" s="23" t="inlineStr">
        <is>
          <t>Prestation maintenance client</t>
        </is>
      </c>
      <c r="D36" s="23" t="inlineStr">
        <is>
          <t>SERVICES</t>
        </is>
      </c>
      <c r="E36" s="24" t="inlineStr">
        <is>
          <t>REVENUE</t>
        </is>
      </c>
      <c r="F36" s="25" t="n">
        <v>3500000</v>
      </c>
      <c r="G36" s="23" t="inlineStr"/>
    </row>
    <row r="37" ht="16" customHeight="1">
      <c r="A37" s="26" t="inlineStr">
        <is>
          <t>2026-04-15</t>
        </is>
      </c>
      <c r="B37" s="26" t="inlineStr">
        <is>
          <t>601000</t>
        </is>
      </c>
      <c r="C37" s="26" t="inlineStr">
        <is>
          <t>Achats MP Avril</t>
        </is>
      </c>
      <c r="D37" s="26" t="inlineStr">
        <is>
          <t>PRODUCTION</t>
        </is>
      </c>
      <c r="E37" s="28" t="inlineStr">
        <is>
          <t>EXPENSE</t>
        </is>
      </c>
      <c r="F37" s="27" t="n">
        <v>15600000</v>
      </c>
      <c r="G37" s="26" t="inlineStr"/>
    </row>
    <row r="38" ht="16" customHeight="1">
      <c r="A38" s="23" t="inlineStr">
        <is>
          <t>2026-04-15</t>
        </is>
      </c>
      <c r="B38" s="23" t="inlineStr">
        <is>
          <t>602000</t>
        </is>
      </c>
      <c r="C38" s="23" t="inlineStr">
        <is>
          <t>Fournitures Avril</t>
        </is>
      </c>
      <c r="D38" s="23" t="inlineStr">
        <is>
          <t>PRODUCTION</t>
        </is>
      </c>
      <c r="E38" s="28" t="inlineStr">
        <is>
          <t>EXPENSE</t>
        </is>
      </c>
      <c r="F38" s="25" t="n">
        <v>3750000</v>
      </c>
      <c r="G38" s="23" t="inlineStr"/>
    </row>
    <row r="39" ht="16" customHeight="1">
      <c r="A39" s="26" t="inlineStr">
        <is>
          <t>2026-04-15</t>
        </is>
      </c>
      <c r="B39" s="26" t="inlineStr">
        <is>
          <t>621100</t>
        </is>
      </c>
      <c r="C39" s="26" t="inlineStr">
        <is>
          <t>Salaires Avril</t>
        </is>
      </c>
      <c r="D39" s="26" t="inlineStr">
        <is>
          <t>RH</t>
        </is>
      </c>
      <c r="E39" s="28" t="inlineStr">
        <is>
          <t>EXPENSE</t>
        </is>
      </c>
      <c r="F39" s="27" t="n">
        <v>7916667</v>
      </c>
      <c r="G39" s="26" t="inlineStr"/>
    </row>
    <row r="40" ht="16" customHeight="1">
      <c r="A40" s="23" t="inlineStr">
        <is>
          <t>2026-04-15</t>
        </is>
      </c>
      <c r="B40" s="23" t="inlineStr">
        <is>
          <t>628000</t>
        </is>
      </c>
      <c r="C40" s="23" t="inlineStr">
        <is>
          <t>Services extérieurs Avril</t>
        </is>
      </c>
      <c r="D40" s="23" t="inlineStr">
        <is>
          <t>OPERATIONS</t>
        </is>
      </c>
      <c r="E40" s="28" t="inlineStr">
        <is>
          <t>EXPENSE</t>
        </is>
      </c>
      <c r="F40" s="25" t="n">
        <v>1000000</v>
      </c>
      <c r="G40" s="23" t="inlineStr"/>
    </row>
    <row r="41" ht="16" customHeight="1">
      <c r="A41" s="26" t="inlineStr">
        <is>
          <t>2026-04-15</t>
        </is>
      </c>
      <c r="B41" s="26" t="inlineStr">
        <is>
          <t>625100</t>
        </is>
      </c>
      <c r="C41" s="26" t="inlineStr">
        <is>
          <t>Transport Avril</t>
        </is>
      </c>
      <c r="D41" s="26" t="inlineStr">
        <is>
          <t>LOGISTIQUE</t>
        </is>
      </c>
      <c r="E41" s="28" t="inlineStr">
        <is>
          <t>EXPENSE</t>
        </is>
      </c>
      <c r="F41" s="27" t="n">
        <v>2333333</v>
      </c>
      <c r="G41" s="26" t="inlineStr"/>
    </row>
    <row r="42" ht="18" customHeight="1">
      <c r="A42" s="22" t="inlineStr">
        <is>
          <t>── Mai 2026 ──</t>
        </is>
      </c>
    </row>
    <row r="43" ht="16" customHeight="1">
      <c r="A43" s="26" t="inlineStr">
        <is>
          <t>2026-05-15</t>
        </is>
      </c>
      <c r="B43" s="26" t="inlineStr">
        <is>
          <t>701100</t>
        </is>
      </c>
      <c r="C43" s="26" t="inlineStr">
        <is>
          <t>Ventes produits transformés Mai</t>
        </is>
      </c>
      <c r="D43" s="26" t="inlineStr">
        <is>
          <t>VENTES</t>
        </is>
      </c>
      <c r="E43" s="24" t="inlineStr">
        <is>
          <t>REVENUE</t>
        </is>
      </c>
      <c r="F43" s="27" t="n">
        <v>25800000</v>
      </c>
      <c r="G43" s="26" t="inlineStr"/>
    </row>
    <row r="44" ht="16" customHeight="1">
      <c r="A44" s="23" t="inlineStr">
        <is>
          <t>2026-05-15</t>
        </is>
      </c>
      <c r="B44" s="23" t="inlineStr">
        <is>
          <t>701200</t>
        </is>
      </c>
      <c r="C44" s="23" t="inlineStr">
        <is>
          <t>Export UEMOA Mai</t>
        </is>
      </c>
      <c r="D44" s="23" t="inlineStr">
        <is>
          <t>VENTES</t>
        </is>
      </c>
      <c r="E44" s="24" t="inlineStr">
        <is>
          <t>REVENUE</t>
        </is>
      </c>
      <c r="F44" s="25" t="n">
        <v>11800000</v>
      </c>
      <c r="G44" s="23" t="inlineStr"/>
    </row>
    <row r="45" ht="16" customHeight="1">
      <c r="A45" s="26" t="inlineStr">
        <is>
          <t>2026-05-15</t>
        </is>
      </c>
      <c r="B45" s="26" t="inlineStr">
        <is>
          <t>702000</t>
        </is>
      </c>
      <c r="C45" s="26" t="inlineStr">
        <is>
          <t>Produits fabriqués Mai</t>
        </is>
      </c>
      <c r="D45" s="26" t="inlineStr">
        <is>
          <t>PRODUCTION</t>
        </is>
      </c>
      <c r="E45" s="24" t="inlineStr">
        <is>
          <t>REVENUE</t>
        </is>
      </c>
      <c r="F45" s="27" t="n">
        <v>7500000</v>
      </c>
      <c r="G45" s="26" t="inlineStr"/>
    </row>
    <row r="46" ht="16" customHeight="1">
      <c r="A46" s="23" t="inlineStr">
        <is>
          <t>2026-05-15</t>
        </is>
      </c>
      <c r="B46" s="23" t="inlineStr">
        <is>
          <t>706000</t>
        </is>
      </c>
      <c r="C46" s="23" t="inlineStr">
        <is>
          <t>Formation client externe</t>
        </is>
      </c>
      <c r="D46" s="23" t="inlineStr">
        <is>
          <t>SERVICES</t>
        </is>
      </c>
      <c r="E46" s="24" t="inlineStr">
        <is>
          <t>REVENUE</t>
        </is>
      </c>
      <c r="F46" s="25" t="n">
        <v>2800000</v>
      </c>
      <c r="G46" s="23" t="inlineStr"/>
    </row>
    <row r="47" ht="16" customHeight="1">
      <c r="A47" s="26" t="inlineStr">
        <is>
          <t>2026-05-15</t>
        </is>
      </c>
      <c r="B47" s="26" t="inlineStr">
        <is>
          <t>601000</t>
        </is>
      </c>
      <c r="C47" s="26" t="inlineStr">
        <is>
          <t>Achats MP Mai</t>
        </is>
      </c>
      <c r="D47" s="26" t="inlineStr">
        <is>
          <t>PRODUCTION</t>
        </is>
      </c>
      <c r="E47" s="28" t="inlineStr">
        <is>
          <t>EXPENSE</t>
        </is>
      </c>
      <c r="F47" s="27" t="n">
        <v>17500000</v>
      </c>
      <c r="G47" s="26" t="inlineStr"/>
    </row>
    <row r="48" ht="16" customHeight="1">
      <c r="A48" s="23" t="inlineStr">
        <is>
          <t>2026-05-15</t>
        </is>
      </c>
      <c r="B48" s="23" t="inlineStr">
        <is>
          <t>604000</t>
        </is>
      </c>
      <c r="C48" s="23" t="inlineStr">
        <is>
          <t>Consommables Mai</t>
        </is>
      </c>
      <c r="D48" s="23" t="inlineStr">
        <is>
          <t>PRODUCTION</t>
        </is>
      </c>
      <c r="E48" s="28" t="inlineStr">
        <is>
          <t>EXPENSE</t>
        </is>
      </c>
      <c r="F48" s="25" t="n">
        <v>1666667</v>
      </c>
      <c r="G48" s="23" t="inlineStr"/>
    </row>
    <row r="49" ht="16" customHeight="1">
      <c r="A49" s="26" t="inlineStr">
        <is>
          <t>2026-05-15</t>
        </is>
      </c>
      <c r="B49" s="26" t="inlineStr">
        <is>
          <t>621100</t>
        </is>
      </c>
      <c r="C49" s="26" t="inlineStr">
        <is>
          <t>Salaires Mai</t>
        </is>
      </c>
      <c r="D49" s="26" t="inlineStr">
        <is>
          <t>RH</t>
        </is>
      </c>
      <c r="E49" s="28" t="inlineStr">
        <is>
          <t>EXPENSE</t>
        </is>
      </c>
      <c r="F49" s="27" t="n">
        <v>7916667</v>
      </c>
      <c r="G49" s="26" t="inlineStr"/>
    </row>
    <row r="50" ht="16" customHeight="1">
      <c r="A50" s="23" t="inlineStr">
        <is>
          <t>2026-05-15</t>
        </is>
      </c>
      <c r="B50" s="23" t="inlineStr">
        <is>
          <t>623400</t>
        </is>
      </c>
      <c r="C50" s="23" t="inlineStr">
        <is>
          <t>Marketing digital Q2</t>
        </is>
      </c>
      <c r="D50" s="23" t="inlineStr">
        <is>
          <t>MARKETING</t>
        </is>
      </c>
      <c r="E50" s="28" t="inlineStr">
        <is>
          <t>EXPENSE</t>
        </is>
      </c>
      <c r="F50" s="25" t="n">
        <v>2250000</v>
      </c>
      <c r="G50" s="23" t="inlineStr"/>
    </row>
    <row r="51" ht="16" customHeight="1">
      <c r="A51" s="26" t="inlineStr">
        <is>
          <t>2026-05-15</t>
        </is>
      </c>
      <c r="B51" s="26" t="inlineStr">
        <is>
          <t>625100</t>
        </is>
      </c>
      <c r="C51" s="26" t="inlineStr">
        <is>
          <t>Transport Mai</t>
        </is>
      </c>
      <c r="D51" s="26" t="inlineStr">
        <is>
          <t>LOGISTIQUE</t>
        </is>
      </c>
      <c r="E51" s="28" t="inlineStr">
        <is>
          <t>EXPENSE</t>
        </is>
      </c>
      <c r="F51" s="27" t="n">
        <v>2333333</v>
      </c>
      <c r="G51" s="26" t="inlineStr"/>
    </row>
    <row r="52" ht="18" customHeight="1">
      <c r="A52" s="22" t="inlineStr">
        <is>
          <t>── Juin 2026 ──</t>
        </is>
      </c>
    </row>
    <row r="53" ht="16" customHeight="1">
      <c r="A53" s="26" t="inlineStr">
        <is>
          <t>2026-06-15</t>
        </is>
      </c>
      <c r="B53" s="26" t="inlineStr">
        <is>
          <t>701100</t>
        </is>
      </c>
      <c r="C53" s="26" t="inlineStr">
        <is>
          <t>Ventes produits transformés Jun</t>
        </is>
      </c>
      <c r="D53" s="26" t="inlineStr">
        <is>
          <t>VENTES</t>
        </is>
      </c>
      <c r="E53" s="24" t="inlineStr">
        <is>
          <t>REVENUE</t>
        </is>
      </c>
      <c r="F53" s="27" t="n">
        <v>26500000</v>
      </c>
      <c r="G53" s="26" t="inlineStr"/>
    </row>
    <row r="54" ht="16" customHeight="1">
      <c r="A54" s="23" t="inlineStr">
        <is>
          <t>2026-06-15</t>
        </is>
      </c>
      <c r="B54" s="23" t="inlineStr">
        <is>
          <t>701200</t>
        </is>
      </c>
      <c r="C54" s="23" t="inlineStr">
        <is>
          <t>Export UEMOA Juin</t>
        </is>
      </c>
      <c r="D54" s="23" t="inlineStr">
        <is>
          <t>VENTES</t>
        </is>
      </c>
      <c r="E54" s="24" t="inlineStr">
        <is>
          <t>REVENUE</t>
        </is>
      </c>
      <c r="F54" s="25" t="n">
        <v>12500000</v>
      </c>
      <c r="G54" s="23" t="inlineStr"/>
    </row>
    <row r="55" ht="16" customHeight="1">
      <c r="A55" s="26" t="inlineStr">
        <is>
          <t>2026-06-15</t>
        </is>
      </c>
      <c r="B55" s="26" t="inlineStr">
        <is>
          <t>707000</t>
        </is>
      </c>
      <c r="C55" s="26" t="inlineStr">
        <is>
          <t>Ventes sous-produits T2</t>
        </is>
      </c>
      <c r="D55" s="26" t="inlineStr">
        <is>
          <t>PRODUCTION</t>
        </is>
      </c>
      <c r="E55" s="24" t="inlineStr">
        <is>
          <t>REVENUE</t>
        </is>
      </c>
      <c r="F55" s="27" t="n">
        <v>1250000</v>
      </c>
      <c r="G55" s="26" t="inlineStr"/>
    </row>
    <row r="56" ht="16" customHeight="1">
      <c r="A56" s="23" t="inlineStr">
        <is>
          <t>2026-06-15</t>
        </is>
      </c>
      <c r="B56" s="23" t="inlineStr">
        <is>
          <t>601000</t>
        </is>
      </c>
      <c r="C56" s="23" t="inlineStr">
        <is>
          <t>Achats MP Juin</t>
        </is>
      </c>
      <c r="D56" s="23" t="inlineStr">
        <is>
          <t>PRODUCTION</t>
        </is>
      </c>
      <c r="E56" s="28" t="inlineStr">
        <is>
          <t>EXPENSE</t>
        </is>
      </c>
      <c r="F56" s="25" t="n">
        <v>18200000</v>
      </c>
      <c r="G56" s="23" t="inlineStr"/>
    </row>
    <row r="57" ht="16" customHeight="1">
      <c r="A57" s="26" t="inlineStr">
        <is>
          <t>2026-06-15</t>
        </is>
      </c>
      <c r="B57" s="26" t="inlineStr">
        <is>
          <t>602000</t>
        </is>
      </c>
      <c r="C57" s="26" t="inlineStr">
        <is>
          <t>Fournitures Juin</t>
        </is>
      </c>
      <c r="D57" s="26" t="inlineStr">
        <is>
          <t>PRODUCTION</t>
        </is>
      </c>
      <c r="E57" s="28" t="inlineStr">
        <is>
          <t>EXPENSE</t>
        </is>
      </c>
      <c r="F57" s="27" t="n">
        <v>3750000</v>
      </c>
      <c r="G57" s="26" t="inlineStr"/>
    </row>
    <row r="58" ht="16" customHeight="1">
      <c r="A58" s="23" t="inlineStr">
        <is>
          <t>2026-06-15</t>
        </is>
      </c>
      <c r="B58" s="23" t="inlineStr">
        <is>
          <t>621100</t>
        </is>
      </c>
      <c r="C58" s="23" t="inlineStr">
        <is>
          <t>Salaires Juin + prime</t>
        </is>
      </c>
      <c r="D58" s="23" t="inlineStr">
        <is>
          <t>RH</t>
        </is>
      </c>
      <c r="E58" s="28" t="inlineStr">
        <is>
          <t>EXPENSE</t>
        </is>
      </c>
      <c r="F58" s="25" t="n">
        <v>9500000</v>
      </c>
      <c r="G58" s="23" t="inlineStr"/>
    </row>
    <row r="59" ht="16" customHeight="1">
      <c r="A59" s="26" t="inlineStr">
        <is>
          <t>2026-06-15</t>
        </is>
      </c>
      <c r="B59" s="26" t="inlineStr">
        <is>
          <t>625100</t>
        </is>
      </c>
      <c r="C59" s="26" t="inlineStr">
        <is>
          <t>Transport Juin</t>
        </is>
      </c>
      <c r="D59" s="26" t="inlineStr">
        <is>
          <t>LOGISTIQUE</t>
        </is>
      </c>
      <c r="E59" s="28" t="inlineStr">
        <is>
          <t>EXPENSE</t>
        </is>
      </c>
      <c r="F59" s="27" t="n">
        <v>2333333</v>
      </c>
      <c r="G59" s="26" t="inlineStr"/>
    </row>
    <row r="60" ht="16" customHeight="1">
      <c r="A60" s="23" t="inlineStr">
        <is>
          <t>2026-06-15</t>
        </is>
      </c>
      <c r="B60" s="23" t="inlineStr">
        <is>
          <t>631000</t>
        </is>
      </c>
      <c r="C60" s="23" t="inlineStr">
        <is>
          <t>TVA T2 et impôts</t>
        </is>
      </c>
      <c r="D60" s="23" t="inlineStr">
        <is>
          <t>FINANCE</t>
        </is>
      </c>
      <c r="E60" s="28" t="inlineStr">
        <is>
          <t>EXPENSE</t>
        </is>
      </c>
      <c r="F60" s="25" t="n">
        <v>3750000</v>
      </c>
      <c r="G60" s="23" t="inlineStr"/>
    </row>
    <row r="61" ht="16" customHeight="1">
      <c r="A61" s="26" t="inlineStr">
        <is>
          <t>2026-06-15</t>
        </is>
      </c>
      <c r="B61" s="26" t="inlineStr">
        <is>
          <t>681000</t>
        </is>
      </c>
      <c r="C61" s="26" t="inlineStr">
        <is>
          <t>Dotation amort. S1</t>
        </is>
      </c>
      <c r="D61" s="26" t="inlineStr">
        <is>
          <t>FINANCE</t>
        </is>
      </c>
      <c r="E61" s="28" t="inlineStr">
        <is>
          <t>EXPENSE</t>
        </is>
      </c>
      <c r="F61" s="27" t="n">
        <v>11000000</v>
      </c>
      <c r="G61" s="26" t="inlineStr"/>
    </row>
    <row r="62" ht="18" customHeight="1">
      <c r="A62" s="22" t="inlineStr">
        <is>
          <t>── Juillet 2026 ──</t>
        </is>
      </c>
    </row>
    <row r="63" ht="16" customHeight="1">
      <c r="A63" s="26" t="inlineStr">
        <is>
          <t>2026-07-15</t>
        </is>
      </c>
      <c r="B63" s="26" t="inlineStr">
        <is>
          <t>701100</t>
        </is>
      </c>
      <c r="C63" s="26" t="inlineStr">
        <is>
          <t>Ventes produits transformés Jul</t>
        </is>
      </c>
      <c r="D63" s="26" t="inlineStr">
        <is>
          <t>VENTES</t>
        </is>
      </c>
      <c r="E63" s="24" t="inlineStr">
        <is>
          <t>REVENUE</t>
        </is>
      </c>
      <c r="F63" s="27" t="n">
        <v>22800000</v>
      </c>
      <c r="G63" s="26" t="inlineStr"/>
    </row>
    <row r="64" ht="16" customHeight="1">
      <c r="A64" s="23" t="inlineStr">
        <is>
          <t>2026-07-15</t>
        </is>
      </c>
      <c r="B64" s="23" t="inlineStr">
        <is>
          <t>701200</t>
        </is>
      </c>
      <c r="C64" s="23" t="inlineStr">
        <is>
          <t>Export UEMOA Juillet</t>
        </is>
      </c>
      <c r="D64" s="23" t="inlineStr">
        <is>
          <t>VENTES</t>
        </is>
      </c>
      <c r="E64" s="24" t="inlineStr">
        <is>
          <t>REVENUE</t>
        </is>
      </c>
      <c r="F64" s="25" t="n">
        <v>9800000</v>
      </c>
      <c r="G64" s="23" t="inlineStr"/>
    </row>
    <row r="65" ht="16" customHeight="1">
      <c r="A65" s="26" t="inlineStr">
        <is>
          <t>2026-07-15</t>
        </is>
      </c>
      <c r="B65" s="26" t="inlineStr">
        <is>
          <t>706000</t>
        </is>
      </c>
      <c r="C65" s="26" t="inlineStr">
        <is>
          <t>Prestation conseil client</t>
        </is>
      </c>
      <c r="D65" s="26" t="inlineStr">
        <is>
          <t>SERVICES</t>
        </is>
      </c>
      <c r="E65" s="24" t="inlineStr">
        <is>
          <t>REVENUE</t>
        </is>
      </c>
      <c r="F65" s="27" t="n">
        <v>4200000</v>
      </c>
      <c r="G65" s="26" t="inlineStr"/>
    </row>
    <row r="66" ht="16" customHeight="1">
      <c r="A66" s="23" t="inlineStr">
        <is>
          <t>2026-07-15</t>
        </is>
      </c>
      <c r="B66" s="23" t="inlineStr">
        <is>
          <t>601000</t>
        </is>
      </c>
      <c r="C66" s="23" t="inlineStr">
        <is>
          <t>Achats MP Juillet</t>
        </is>
      </c>
      <c r="D66" s="23" t="inlineStr">
        <is>
          <t>PRODUCTION</t>
        </is>
      </c>
      <c r="E66" s="28" t="inlineStr">
        <is>
          <t>EXPENSE</t>
        </is>
      </c>
      <c r="F66" s="25" t="n">
        <v>15800000</v>
      </c>
      <c r="G66" s="23" t="inlineStr"/>
    </row>
    <row r="67" ht="16" customHeight="1">
      <c r="A67" s="26" t="inlineStr">
        <is>
          <t>2026-07-15</t>
        </is>
      </c>
      <c r="B67" s="26" t="inlineStr">
        <is>
          <t>604000</t>
        </is>
      </c>
      <c r="C67" s="26" t="inlineStr">
        <is>
          <t>Consommables Juillet</t>
        </is>
      </c>
      <c r="D67" s="26" t="inlineStr">
        <is>
          <t>PRODUCTION</t>
        </is>
      </c>
      <c r="E67" s="28" t="inlineStr">
        <is>
          <t>EXPENSE</t>
        </is>
      </c>
      <c r="F67" s="27" t="n">
        <v>1666667</v>
      </c>
      <c r="G67" s="26" t="inlineStr"/>
    </row>
    <row r="68" ht="16" customHeight="1">
      <c r="A68" s="23" t="inlineStr">
        <is>
          <t>2026-07-15</t>
        </is>
      </c>
      <c r="B68" s="23" t="inlineStr">
        <is>
          <t>621100</t>
        </is>
      </c>
      <c r="C68" s="23" t="inlineStr">
        <is>
          <t>Salaires Juillet</t>
        </is>
      </c>
      <c r="D68" s="23" t="inlineStr">
        <is>
          <t>RH</t>
        </is>
      </c>
      <c r="E68" s="28" t="inlineStr">
        <is>
          <t>EXPENSE</t>
        </is>
      </c>
      <c r="F68" s="25" t="n">
        <v>7916667</v>
      </c>
      <c r="G68" s="23" t="inlineStr"/>
    </row>
    <row r="69" ht="16" customHeight="1">
      <c r="A69" s="26" t="inlineStr">
        <is>
          <t>2026-07-15</t>
        </is>
      </c>
      <c r="B69" s="26" t="inlineStr">
        <is>
          <t>625100</t>
        </is>
      </c>
      <c r="C69" s="26" t="inlineStr">
        <is>
          <t>Transport Juillet</t>
        </is>
      </c>
      <c r="D69" s="26" t="inlineStr">
        <is>
          <t>LOGISTIQUE</t>
        </is>
      </c>
      <c r="E69" s="28" t="inlineStr">
        <is>
          <t>EXPENSE</t>
        </is>
      </c>
      <c r="F69" s="27" t="n">
        <v>2333333</v>
      </c>
      <c r="G69" s="26" t="inlineStr"/>
    </row>
    <row r="70" ht="18" customHeight="1">
      <c r="A70" s="22" t="inlineStr">
        <is>
          <t>── Août 2026 ──</t>
        </is>
      </c>
    </row>
    <row r="71" ht="16" customHeight="1">
      <c r="A71" s="26" t="inlineStr">
        <is>
          <t>2026-08-15</t>
        </is>
      </c>
      <c r="B71" s="26" t="inlineStr">
        <is>
          <t>701100</t>
        </is>
      </c>
      <c r="C71" s="26" t="inlineStr">
        <is>
          <t>Ventes produits transformés Aoû</t>
        </is>
      </c>
      <c r="D71" s="26" t="inlineStr">
        <is>
          <t>VENTES</t>
        </is>
      </c>
      <c r="E71" s="24" t="inlineStr">
        <is>
          <t>REVENUE</t>
        </is>
      </c>
      <c r="F71" s="27" t="n">
        <v>21500000</v>
      </c>
      <c r="G71" s="26" t="inlineStr"/>
    </row>
    <row r="72" ht="16" customHeight="1">
      <c r="A72" s="23" t="inlineStr">
        <is>
          <t>2026-08-15</t>
        </is>
      </c>
      <c r="B72" s="23" t="inlineStr">
        <is>
          <t>701200</t>
        </is>
      </c>
      <c r="C72" s="23" t="inlineStr">
        <is>
          <t>Export UEMOA Août</t>
        </is>
      </c>
      <c r="D72" s="23" t="inlineStr">
        <is>
          <t>VENTES</t>
        </is>
      </c>
      <c r="E72" s="24" t="inlineStr">
        <is>
          <t>REVENUE</t>
        </is>
      </c>
      <c r="F72" s="25" t="n">
        <v>9200000</v>
      </c>
      <c r="G72" s="23" t="inlineStr"/>
    </row>
    <row r="73" ht="16" customHeight="1">
      <c r="A73" s="26" t="inlineStr">
        <is>
          <t>2026-08-15</t>
        </is>
      </c>
      <c r="B73" s="26" t="inlineStr">
        <is>
          <t>702000</t>
        </is>
      </c>
      <c r="C73" s="26" t="inlineStr">
        <is>
          <t>Produits fabriqués Août</t>
        </is>
      </c>
      <c r="D73" s="26" t="inlineStr">
        <is>
          <t>PRODUCTION</t>
        </is>
      </c>
      <c r="E73" s="24" t="inlineStr">
        <is>
          <t>REVENUE</t>
        </is>
      </c>
      <c r="F73" s="27" t="n">
        <v>6800000</v>
      </c>
      <c r="G73" s="26" t="inlineStr"/>
    </row>
    <row r="74" ht="16" customHeight="1">
      <c r="A74" s="23" t="inlineStr">
        <is>
          <t>2026-08-15</t>
        </is>
      </c>
      <c r="B74" s="23" t="inlineStr">
        <is>
          <t>601000</t>
        </is>
      </c>
      <c r="C74" s="23" t="inlineStr">
        <is>
          <t>Achats MP Août</t>
        </is>
      </c>
      <c r="D74" s="23" t="inlineStr">
        <is>
          <t>PRODUCTION</t>
        </is>
      </c>
      <c r="E74" s="28" t="inlineStr">
        <is>
          <t>EXPENSE</t>
        </is>
      </c>
      <c r="F74" s="25" t="n">
        <v>15100000</v>
      </c>
      <c r="G74" s="23" t="inlineStr"/>
    </row>
    <row r="75" ht="16" customHeight="1">
      <c r="A75" s="26" t="inlineStr">
        <is>
          <t>2026-08-15</t>
        </is>
      </c>
      <c r="B75" s="26" t="inlineStr">
        <is>
          <t>602000</t>
        </is>
      </c>
      <c r="C75" s="26" t="inlineStr">
        <is>
          <t>Fournitures Août</t>
        </is>
      </c>
      <c r="D75" s="26" t="inlineStr">
        <is>
          <t>PRODUCTION</t>
        </is>
      </c>
      <c r="E75" s="28" t="inlineStr">
        <is>
          <t>EXPENSE</t>
        </is>
      </c>
      <c r="F75" s="27" t="n">
        <v>3750000</v>
      </c>
      <c r="G75" s="26" t="inlineStr"/>
    </row>
    <row r="76" ht="16" customHeight="1">
      <c r="A76" s="23" t="inlineStr">
        <is>
          <t>2026-08-15</t>
        </is>
      </c>
      <c r="B76" s="23" t="inlineStr">
        <is>
          <t>621100</t>
        </is>
      </c>
      <c r="C76" s="23" t="inlineStr">
        <is>
          <t>Salaires Août</t>
        </is>
      </c>
      <c r="D76" s="23" t="inlineStr">
        <is>
          <t>RH</t>
        </is>
      </c>
      <c r="E76" s="28" t="inlineStr">
        <is>
          <t>EXPENSE</t>
        </is>
      </c>
      <c r="F76" s="25" t="n">
        <v>7916667</v>
      </c>
      <c r="G76" s="23" t="inlineStr"/>
    </row>
    <row r="77" ht="16" customHeight="1">
      <c r="A77" s="26" t="inlineStr">
        <is>
          <t>2026-08-15</t>
        </is>
      </c>
      <c r="B77" s="26" t="inlineStr">
        <is>
          <t>623400</t>
        </is>
      </c>
      <c r="C77" s="26" t="inlineStr">
        <is>
          <t>Foire commerciale Dakar</t>
        </is>
      </c>
      <c r="D77" s="26" t="inlineStr">
        <is>
          <t>MARKETING</t>
        </is>
      </c>
      <c r="E77" s="28" t="inlineStr">
        <is>
          <t>EXPENSE</t>
        </is>
      </c>
      <c r="F77" s="27" t="n">
        <v>3500000</v>
      </c>
      <c r="G77" s="26" t="inlineStr"/>
    </row>
    <row r="78" ht="16" customHeight="1">
      <c r="A78" s="23" t="inlineStr">
        <is>
          <t>2026-08-15</t>
        </is>
      </c>
      <c r="B78" s="23" t="inlineStr">
        <is>
          <t>625100</t>
        </is>
      </c>
      <c r="C78" s="23" t="inlineStr">
        <is>
          <t>Transport Août</t>
        </is>
      </c>
      <c r="D78" s="23" t="inlineStr">
        <is>
          <t>LOGISTIQUE</t>
        </is>
      </c>
      <c r="E78" s="28" t="inlineStr">
        <is>
          <t>EXPENSE</t>
        </is>
      </c>
      <c r="F78" s="25" t="n">
        <v>2333333</v>
      </c>
      <c r="G78" s="23" t="inlineStr"/>
    </row>
    <row r="79" ht="18" customHeight="1">
      <c r="A79" s="22" t="inlineStr">
        <is>
          <t>── Septembre 2026 ──</t>
        </is>
      </c>
    </row>
    <row r="80" ht="16" customHeight="1">
      <c r="A80" s="23" t="inlineStr">
        <is>
          <t>2026-09-15</t>
        </is>
      </c>
      <c r="B80" s="23" t="inlineStr">
        <is>
          <t>701100</t>
        </is>
      </c>
      <c r="C80" s="23" t="inlineStr">
        <is>
          <t>Ventes produits transformés Sep</t>
        </is>
      </c>
      <c r="D80" s="23" t="inlineStr">
        <is>
          <t>VENTES</t>
        </is>
      </c>
      <c r="E80" s="24" t="inlineStr">
        <is>
          <t>REVENUE</t>
        </is>
      </c>
      <c r="F80" s="25" t="n">
        <v>24800000</v>
      </c>
      <c r="G80" s="23" t="inlineStr"/>
    </row>
    <row r="81" ht="16" customHeight="1">
      <c r="A81" s="26" t="inlineStr">
        <is>
          <t>2026-09-15</t>
        </is>
      </c>
      <c r="B81" s="26" t="inlineStr">
        <is>
          <t>701200</t>
        </is>
      </c>
      <c r="C81" s="26" t="inlineStr">
        <is>
          <t>Export UEMOA Septembre</t>
        </is>
      </c>
      <c r="D81" s="26" t="inlineStr">
        <is>
          <t>VENTES</t>
        </is>
      </c>
      <c r="E81" s="24" t="inlineStr">
        <is>
          <t>REVENUE</t>
        </is>
      </c>
      <c r="F81" s="27" t="n">
        <v>11500000</v>
      </c>
      <c r="G81" s="26" t="inlineStr"/>
    </row>
    <row r="82" ht="16" customHeight="1">
      <c r="A82" s="23" t="inlineStr">
        <is>
          <t>2026-09-15</t>
        </is>
      </c>
      <c r="B82" s="23" t="inlineStr">
        <is>
          <t>707000</t>
        </is>
      </c>
      <c r="C82" s="23" t="inlineStr">
        <is>
          <t>Ventes sous-produits T3</t>
        </is>
      </c>
      <c r="D82" s="23" t="inlineStr">
        <is>
          <t>PRODUCTION</t>
        </is>
      </c>
      <c r="E82" s="24" t="inlineStr">
        <is>
          <t>REVENUE</t>
        </is>
      </c>
      <c r="F82" s="25" t="n">
        <v>1250000</v>
      </c>
      <c r="G82" s="23" t="inlineStr"/>
    </row>
    <row r="83" ht="16" customHeight="1">
      <c r="A83" s="26" t="inlineStr">
        <is>
          <t>2026-09-15</t>
        </is>
      </c>
      <c r="B83" s="26" t="inlineStr">
        <is>
          <t>601000</t>
        </is>
      </c>
      <c r="C83" s="26" t="inlineStr">
        <is>
          <t>Achats MP Septembre</t>
        </is>
      </c>
      <c r="D83" s="26" t="inlineStr">
        <is>
          <t>PRODUCTION</t>
        </is>
      </c>
      <c r="E83" s="28" t="inlineStr">
        <is>
          <t>EXPENSE</t>
        </is>
      </c>
      <c r="F83" s="27" t="n">
        <v>16900000</v>
      </c>
      <c r="G83" s="26" t="inlineStr"/>
    </row>
    <row r="84" ht="16" customHeight="1">
      <c r="A84" s="23" t="inlineStr">
        <is>
          <t>2026-09-15</t>
        </is>
      </c>
      <c r="B84" s="23" t="inlineStr">
        <is>
          <t>604000</t>
        </is>
      </c>
      <c r="C84" s="23" t="inlineStr">
        <is>
          <t>Consommables Sep</t>
        </is>
      </c>
      <c r="D84" s="23" t="inlineStr">
        <is>
          <t>PRODUCTION</t>
        </is>
      </c>
      <c r="E84" s="28" t="inlineStr">
        <is>
          <t>EXPENSE</t>
        </is>
      </c>
      <c r="F84" s="25" t="n">
        <v>1666667</v>
      </c>
      <c r="G84" s="23" t="inlineStr"/>
    </row>
    <row r="85" ht="16" customHeight="1">
      <c r="A85" s="26" t="inlineStr">
        <is>
          <t>2026-09-15</t>
        </is>
      </c>
      <c r="B85" s="26" t="inlineStr">
        <is>
          <t>621100</t>
        </is>
      </c>
      <c r="C85" s="26" t="inlineStr">
        <is>
          <t>Salaires Septembre</t>
        </is>
      </c>
      <c r="D85" s="26" t="inlineStr">
        <is>
          <t>RH</t>
        </is>
      </c>
      <c r="E85" s="28" t="inlineStr">
        <is>
          <t>EXPENSE</t>
        </is>
      </c>
      <c r="F85" s="27" t="n">
        <v>7916667</v>
      </c>
      <c r="G85" s="26" t="inlineStr"/>
    </row>
    <row r="86" ht="16" customHeight="1">
      <c r="A86" s="23" t="inlineStr">
        <is>
          <t>2026-09-15</t>
        </is>
      </c>
      <c r="B86" s="23" t="inlineStr">
        <is>
          <t>625100</t>
        </is>
      </c>
      <c r="C86" s="23" t="inlineStr">
        <is>
          <t>Transport Septembre</t>
        </is>
      </c>
      <c r="D86" s="23" t="inlineStr">
        <is>
          <t>LOGISTIQUE</t>
        </is>
      </c>
      <c r="E86" s="28" t="inlineStr">
        <is>
          <t>EXPENSE</t>
        </is>
      </c>
      <c r="F86" s="25" t="n">
        <v>2333333</v>
      </c>
      <c r="G86" s="23" t="inlineStr"/>
    </row>
    <row r="87" ht="16" customHeight="1">
      <c r="A87" s="26" t="inlineStr">
        <is>
          <t>2026-09-15</t>
        </is>
      </c>
      <c r="B87" s="26" t="inlineStr">
        <is>
          <t>631000</t>
        </is>
      </c>
      <c r="C87" s="26" t="inlineStr">
        <is>
          <t>TVA T3 et impôts</t>
        </is>
      </c>
      <c r="D87" s="26" t="inlineStr">
        <is>
          <t>FINANCE</t>
        </is>
      </c>
      <c r="E87" s="28" t="inlineStr">
        <is>
          <t>EXPENSE</t>
        </is>
      </c>
      <c r="F87" s="27" t="n">
        <v>3750000</v>
      </c>
      <c r="G87" s="26" t="inlineStr"/>
    </row>
    <row r="88" ht="18" customHeight="1">
      <c r="A88" s="22" t="inlineStr">
        <is>
          <t>── Octobre 2026 ──</t>
        </is>
      </c>
    </row>
    <row r="89" ht="16" customHeight="1">
      <c r="A89" s="26" t="inlineStr">
        <is>
          <t>2026-10-15</t>
        </is>
      </c>
      <c r="B89" s="26" t="inlineStr">
        <is>
          <t>701100</t>
        </is>
      </c>
      <c r="C89" s="26" t="inlineStr">
        <is>
          <t>Ventes produits transformés Oct</t>
        </is>
      </c>
      <c r="D89" s="26" t="inlineStr">
        <is>
          <t>VENTES</t>
        </is>
      </c>
      <c r="E89" s="24" t="inlineStr">
        <is>
          <t>REVENUE</t>
        </is>
      </c>
      <c r="F89" s="27" t="n">
        <v>25500000</v>
      </c>
      <c r="G89" s="26" t="inlineStr"/>
    </row>
    <row r="90" ht="16" customHeight="1">
      <c r="A90" s="23" t="inlineStr">
        <is>
          <t>2026-10-15</t>
        </is>
      </c>
      <c r="B90" s="23" t="inlineStr">
        <is>
          <t>701200</t>
        </is>
      </c>
      <c r="C90" s="23" t="inlineStr">
        <is>
          <t>Export UEMOA Octobre</t>
        </is>
      </c>
      <c r="D90" s="23" t="inlineStr">
        <is>
          <t>VENTES</t>
        </is>
      </c>
      <c r="E90" s="24" t="inlineStr">
        <is>
          <t>REVENUE</t>
        </is>
      </c>
      <c r="F90" s="25" t="n">
        <v>12000000</v>
      </c>
      <c r="G90" s="23" t="inlineStr"/>
    </row>
    <row r="91" ht="16" customHeight="1">
      <c r="A91" s="26" t="inlineStr">
        <is>
          <t>2026-10-15</t>
        </is>
      </c>
      <c r="B91" s="26" t="inlineStr">
        <is>
          <t>706000</t>
        </is>
      </c>
      <c r="C91" s="26" t="inlineStr">
        <is>
          <t>Contrat annuel maintenance</t>
        </is>
      </c>
      <c r="D91" s="26" t="inlineStr">
        <is>
          <t>SERVICES</t>
        </is>
      </c>
      <c r="E91" s="24" t="inlineStr">
        <is>
          <t>REVENUE</t>
        </is>
      </c>
      <c r="F91" s="27" t="n">
        <v>5000000</v>
      </c>
      <c r="G91" s="26" t="inlineStr"/>
    </row>
    <row r="92" ht="16" customHeight="1">
      <c r="A92" s="23" t="inlineStr">
        <is>
          <t>2026-10-15</t>
        </is>
      </c>
      <c r="B92" s="23" t="inlineStr">
        <is>
          <t>601000</t>
        </is>
      </c>
      <c r="C92" s="23" t="inlineStr">
        <is>
          <t>Achats MP Octobre</t>
        </is>
      </c>
      <c r="D92" s="23" t="inlineStr">
        <is>
          <t>PRODUCTION</t>
        </is>
      </c>
      <c r="E92" s="28" t="inlineStr">
        <is>
          <t>EXPENSE</t>
        </is>
      </c>
      <c r="F92" s="25" t="n">
        <v>17500000</v>
      </c>
      <c r="G92" s="23" t="inlineStr"/>
    </row>
    <row r="93" ht="16" customHeight="1">
      <c r="A93" s="26" t="inlineStr">
        <is>
          <t>2026-10-15</t>
        </is>
      </c>
      <c r="B93" s="26" t="inlineStr">
        <is>
          <t>602000</t>
        </is>
      </c>
      <c r="C93" s="26" t="inlineStr">
        <is>
          <t>Fournitures Octobre</t>
        </is>
      </c>
      <c r="D93" s="26" t="inlineStr">
        <is>
          <t>PRODUCTION</t>
        </is>
      </c>
      <c r="E93" s="28" t="inlineStr">
        <is>
          <t>EXPENSE</t>
        </is>
      </c>
      <c r="F93" s="27" t="n">
        <v>3750000</v>
      </c>
      <c r="G93" s="26" t="inlineStr"/>
    </row>
    <row r="94" ht="16" customHeight="1">
      <c r="A94" s="23" t="inlineStr">
        <is>
          <t>2026-10-15</t>
        </is>
      </c>
      <c r="B94" s="23" t="inlineStr">
        <is>
          <t>621100</t>
        </is>
      </c>
      <c r="C94" s="23" t="inlineStr">
        <is>
          <t>Salaires Octobre</t>
        </is>
      </c>
      <c r="D94" s="23" t="inlineStr">
        <is>
          <t>RH</t>
        </is>
      </c>
      <c r="E94" s="28" t="inlineStr">
        <is>
          <t>EXPENSE</t>
        </is>
      </c>
      <c r="F94" s="25" t="n">
        <v>7916667</v>
      </c>
      <c r="G94" s="23" t="inlineStr"/>
    </row>
    <row r="95" ht="16" customHeight="1">
      <c r="A95" s="26" t="inlineStr">
        <is>
          <t>2026-10-15</t>
        </is>
      </c>
      <c r="B95" s="26" t="inlineStr">
        <is>
          <t>625100</t>
        </is>
      </c>
      <c r="C95" s="26" t="inlineStr">
        <is>
          <t>Transport Octobre</t>
        </is>
      </c>
      <c r="D95" s="26" t="inlineStr">
        <is>
          <t>LOGISTIQUE</t>
        </is>
      </c>
      <c r="E95" s="28" t="inlineStr">
        <is>
          <t>EXPENSE</t>
        </is>
      </c>
      <c r="F95" s="27" t="n">
        <v>2333333</v>
      </c>
      <c r="G95" s="26" t="inlineStr"/>
    </row>
    <row r="96" ht="16" customHeight="1">
      <c r="A96" s="23" t="inlineStr">
        <is>
          <t>2026-10-15</t>
        </is>
      </c>
      <c r="B96" s="23" t="inlineStr">
        <is>
          <t>628000</t>
        </is>
      </c>
      <c r="C96" s="23" t="inlineStr">
        <is>
          <t>Services extérieurs Oct</t>
        </is>
      </c>
      <c r="D96" s="23" t="inlineStr">
        <is>
          <t>OPERATIONS</t>
        </is>
      </c>
      <c r="E96" s="28" t="inlineStr">
        <is>
          <t>EXPENSE</t>
        </is>
      </c>
      <c r="F96" s="25" t="n">
        <v>1000000</v>
      </c>
      <c r="G96" s="23" t="inlineStr"/>
    </row>
    <row r="97" ht="18" customHeight="1">
      <c r="A97" s="22" t="inlineStr">
        <is>
          <t>── Novembre 2026 ──</t>
        </is>
      </c>
    </row>
    <row r="98" ht="16" customHeight="1">
      <c r="A98" s="23" t="inlineStr">
        <is>
          <t>2026-11-15</t>
        </is>
      </c>
      <c r="B98" s="23" t="inlineStr">
        <is>
          <t>701100</t>
        </is>
      </c>
      <c r="C98" s="23" t="inlineStr">
        <is>
          <t>Ventes produits transformés Nov</t>
        </is>
      </c>
      <c r="D98" s="23" t="inlineStr">
        <is>
          <t>VENTES</t>
        </is>
      </c>
      <c r="E98" s="24" t="inlineStr">
        <is>
          <t>REVENUE</t>
        </is>
      </c>
      <c r="F98" s="25" t="n">
        <v>27200000</v>
      </c>
      <c r="G98" s="23" t="inlineStr"/>
    </row>
    <row r="99" ht="16" customHeight="1">
      <c r="A99" s="26" t="inlineStr">
        <is>
          <t>2026-11-15</t>
        </is>
      </c>
      <c r="B99" s="26" t="inlineStr">
        <is>
          <t>701200</t>
        </is>
      </c>
      <c r="C99" s="26" t="inlineStr">
        <is>
          <t>Export UEMOA Novembre</t>
        </is>
      </c>
      <c r="D99" s="26" t="inlineStr">
        <is>
          <t>VENTES</t>
        </is>
      </c>
      <c r="E99" s="24" t="inlineStr">
        <is>
          <t>REVENUE</t>
        </is>
      </c>
      <c r="F99" s="27" t="n">
        <v>13500000</v>
      </c>
      <c r="G99" s="26" t="inlineStr"/>
    </row>
    <row r="100" ht="16" customHeight="1">
      <c r="A100" s="23" t="inlineStr">
        <is>
          <t>2026-11-15</t>
        </is>
      </c>
      <c r="B100" s="23" t="inlineStr">
        <is>
          <t>702000</t>
        </is>
      </c>
      <c r="C100" s="23" t="inlineStr">
        <is>
          <t>Produits fabriqués Nov</t>
        </is>
      </c>
      <c r="D100" s="23" t="inlineStr">
        <is>
          <t>PRODUCTION</t>
        </is>
      </c>
      <c r="E100" s="24" t="inlineStr">
        <is>
          <t>REVENUE</t>
        </is>
      </c>
      <c r="F100" s="25" t="n">
        <v>8200000</v>
      </c>
      <c r="G100" s="23" t="inlineStr"/>
    </row>
    <row r="101" ht="16" customHeight="1">
      <c r="A101" s="26" t="inlineStr">
        <is>
          <t>2026-11-15</t>
        </is>
      </c>
      <c r="B101" s="26" t="inlineStr">
        <is>
          <t>601000</t>
        </is>
      </c>
      <c r="C101" s="26" t="inlineStr">
        <is>
          <t>Achats MP Novembre</t>
        </is>
      </c>
      <c r="D101" s="26" t="inlineStr">
        <is>
          <t>PRODUCTION</t>
        </is>
      </c>
      <c r="E101" s="28" t="inlineStr">
        <is>
          <t>EXPENSE</t>
        </is>
      </c>
      <c r="F101" s="27" t="n">
        <v>18800000</v>
      </c>
      <c r="G101" s="26" t="inlineStr"/>
    </row>
    <row r="102" ht="16" customHeight="1">
      <c r="A102" s="23" t="inlineStr">
        <is>
          <t>2026-11-15</t>
        </is>
      </c>
      <c r="B102" s="23" t="inlineStr">
        <is>
          <t>604000</t>
        </is>
      </c>
      <c r="C102" s="23" t="inlineStr">
        <is>
          <t>Consommables Nov</t>
        </is>
      </c>
      <c r="D102" s="23" t="inlineStr">
        <is>
          <t>PRODUCTION</t>
        </is>
      </c>
      <c r="E102" s="28" t="inlineStr">
        <is>
          <t>EXPENSE</t>
        </is>
      </c>
      <c r="F102" s="25" t="n">
        <v>1666667</v>
      </c>
      <c r="G102" s="23" t="inlineStr"/>
    </row>
    <row r="103" ht="16" customHeight="1">
      <c r="A103" s="26" t="inlineStr">
        <is>
          <t>2026-11-15</t>
        </is>
      </c>
      <c r="B103" s="26" t="inlineStr">
        <is>
          <t>621100</t>
        </is>
      </c>
      <c r="C103" s="26" t="inlineStr">
        <is>
          <t>Salaires Novembre</t>
        </is>
      </c>
      <c r="D103" s="26" t="inlineStr">
        <is>
          <t>RH</t>
        </is>
      </c>
      <c r="E103" s="28" t="inlineStr">
        <is>
          <t>EXPENSE</t>
        </is>
      </c>
      <c r="F103" s="27" t="n">
        <v>7916667</v>
      </c>
      <c r="G103" s="26" t="inlineStr"/>
    </row>
    <row r="104" ht="16" customHeight="1">
      <c r="A104" s="23" t="inlineStr">
        <is>
          <t>2026-11-15</t>
        </is>
      </c>
      <c r="B104" s="23" t="inlineStr">
        <is>
          <t>623400</t>
        </is>
      </c>
      <c r="C104" s="23" t="inlineStr">
        <is>
          <t>Campagne fin d'année</t>
        </is>
      </c>
      <c r="D104" s="23" t="inlineStr">
        <is>
          <t>MARKETING</t>
        </is>
      </c>
      <c r="E104" s="28" t="inlineStr">
        <is>
          <t>EXPENSE</t>
        </is>
      </c>
      <c r="F104" s="25" t="n">
        <v>4500000</v>
      </c>
      <c r="G104" s="23" t="inlineStr"/>
    </row>
    <row r="105" ht="16" customHeight="1">
      <c r="A105" s="26" t="inlineStr">
        <is>
          <t>2026-11-15</t>
        </is>
      </c>
      <c r="B105" s="26" t="inlineStr">
        <is>
          <t>625100</t>
        </is>
      </c>
      <c r="C105" s="26" t="inlineStr">
        <is>
          <t>Transport Novembre</t>
        </is>
      </c>
      <c r="D105" s="26" t="inlineStr">
        <is>
          <t>LOGISTIQUE</t>
        </is>
      </c>
      <c r="E105" s="28" t="inlineStr">
        <is>
          <t>EXPENSE</t>
        </is>
      </c>
      <c r="F105" s="27" t="n">
        <v>2333333</v>
      </c>
      <c r="G105" s="26" t="inlineStr"/>
    </row>
    <row r="106" ht="16" customHeight="1">
      <c r="A106" s="23" t="inlineStr">
        <is>
          <t>2026-11-15</t>
        </is>
      </c>
      <c r="B106" s="23" t="inlineStr">
        <is>
          <t>681000</t>
        </is>
      </c>
      <c r="C106" s="23" t="inlineStr">
        <is>
          <t>Dotation amort. S2</t>
        </is>
      </c>
      <c r="D106" s="23" t="inlineStr">
        <is>
          <t>FINANCE</t>
        </is>
      </c>
      <c r="E106" s="28" t="inlineStr">
        <is>
          <t>EXPENSE</t>
        </is>
      </c>
      <c r="F106" s="25" t="n">
        <v>11000000</v>
      </c>
      <c r="G106" s="23" t="inlineStr"/>
    </row>
    <row r="107" ht="18" customHeight="1">
      <c r="A107" s="22" t="inlineStr">
        <is>
          <t>── Décembre 2026 ──</t>
        </is>
      </c>
    </row>
    <row r="108" ht="16" customHeight="1">
      <c r="A108" s="23" t="inlineStr">
        <is>
          <t>2026-12-15</t>
        </is>
      </c>
      <c r="B108" s="23" t="inlineStr">
        <is>
          <t>701100</t>
        </is>
      </c>
      <c r="C108" s="23" t="inlineStr">
        <is>
          <t>Ventes produits transformés Déc</t>
        </is>
      </c>
      <c r="D108" s="23" t="inlineStr">
        <is>
          <t>VENTES</t>
        </is>
      </c>
      <c r="E108" s="24" t="inlineStr">
        <is>
          <t>REVENUE</t>
        </is>
      </c>
      <c r="F108" s="25" t="n">
        <v>29500000</v>
      </c>
      <c r="G108" s="23" t="inlineStr"/>
    </row>
    <row r="109" ht="16" customHeight="1">
      <c r="A109" s="26" t="inlineStr">
        <is>
          <t>2026-12-15</t>
        </is>
      </c>
      <c r="B109" s="26" t="inlineStr">
        <is>
          <t>701200</t>
        </is>
      </c>
      <c r="C109" s="26" t="inlineStr">
        <is>
          <t>Export UEMOA Décembre</t>
        </is>
      </c>
      <c r="D109" s="26" t="inlineStr">
        <is>
          <t>VENTES</t>
        </is>
      </c>
      <c r="E109" s="24" t="inlineStr">
        <is>
          <t>REVENUE</t>
        </is>
      </c>
      <c r="F109" s="27" t="n">
        <v>14500000</v>
      </c>
      <c r="G109" s="26" t="inlineStr"/>
    </row>
    <row r="110" ht="16" customHeight="1">
      <c r="A110" s="23" t="inlineStr">
        <is>
          <t>2026-12-15</t>
        </is>
      </c>
      <c r="B110" s="23" t="inlineStr">
        <is>
          <t>707000</t>
        </is>
      </c>
      <c r="C110" s="23" t="inlineStr">
        <is>
          <t>Ventes sous-produits T4</t>
        </is>
      </c>
      <c r="D110" s="23" t="inlineStr">
        <is>
          <t>PRODUCTION</t>
        </is>
      </c>
      <c r="E110" s="24" t="inlineStr">
        <is>
          <t>REVENUE</t>
        </is>
      </c>
      <c r="F110" s="25" t="n">
        <v>1250000</v>
      </c>
      <c r="G110" s="23" t="inlineStr"/>
    </row>
    <row r="111" ht="16" customHeight="1">
      <c r="A111" s="26" t="inlineStr">
        <is>
          <t>2026-12-15</t>
        </is>
      </c>
      <c r="B111" s="26" t="inlineStr">
        <is>
          <t>706000</t>
        </is>
      </c>
      <c r="C111" s="26" t="inlineStr">
        <is>
          <t>Bilan prestation annuelle</t>
        </is>
      </c>
      <c r="D111" s="26" t="inlineStr">
        <is>
          <t>SERVICES</t>
        </is>
      </c>
      <c r="E111" s="24" t="inlineStr">
        <is>
          <t>REVENUE</t>
        </is>
      </c>
      <c r="F111" s="27" t="n">
        <v>3500000</v>
      </c>
      <c r="G111" s="26" t="inlineStr"/>
    </row>
    <row r="112" ht="16" customHeight="1">
      <c r="A112" s="23" t="inlineStr">
        <is>
          <t>2026-12-15</t>
        </is>
      </c>
      <c r="B112" s="23" t="inlineStr">
        <is>
          <t>601000</t>
        </is>
      </c>
      <c r="C112" s="23" t="inlineStr">
        <is>
          <t>Achats MP Décembre</t>
        </is>
      </c>
      <c r="D112" s="23" t="inlineStr">
        <is>
          <t>PRODUCTION</t>
        </is>
      </c>
      <c r="E112" s="28" t="inlineStr">
        <is>
          <t>EXPENSE</t>
        </is>
      </c>
      <c r="F112" s="25" t="n">
        <v>20200000</v>
      </c>
      <c r="G112" s="23" t="inlineStr"/>
    </row>
    <row r="113" ht="16" customHeight="1">
      <c r="A113" s="26" t="inlineStr">
        <is>
          <t>2026-12-15</t>
        </is>
      </c>
      <c r="B113" s="26" t="inlineStr">
        <is>
          <t>602000</t>
        </is>
      </c>
      <c r="C113" s="26" t="inlineStr">
        <is>
          <t>Fournitures Décembre</t>
        </is>
      </c>
      <c r="D113" s="26" t="inlineStr">
        <is>
          <t>PRODUCTION</t>
        </is>
      </c>
      <c r="E113" s="28" t="inlineStr">
        <is>
          <t>EXPENSE</t>
        </is>
      </c>
      <c r="F113" s="27" t="n">
        <v>3750000</v>
      </c>
      <c r="G113" s="26" t="inlineStr"/>
    </row>
    <row r="114" ht="16" customHeight="1">
      <c r="A114" s="23" t="inlineStr">
        <is>
          <t>2026-12-15</t>
        </is>
      </c>
      <c r="B114" s="23" t="inlineStr">
        <is>
          <t>621100</t>
        </is>
      </c>
      <c r="C114" s="23" t="inlineStr">
        <is>
          <t>Salaires Déc + 13ème mois</t>
        </is>
      </c>
      <c r="D114" s="23" t="inlineStr">
        <is>
          <t>RH</t>
        </is>
      </c>
      <c r="E114" s="28" t="inlineStr">
        <is>
          <t>EXPENSE</t>
        </is>
      </c>
      <c r="F114" s="25" t="n">
        <v>15833333</v>
      </c>
      <c r="G114" s="23" t="inlineStr"/>
    </row>
    <row r="115" ht="16" customHeight="1">
      <c r="A115" s="26" t="inlineStr">
        <is>
          <t>2026-12-15</t>
        </is>
      </c>
      <c r="B115" s="26" t="inlineStr">
        <is>
          <t>625100</t>
        </is>
      </c>
      <c r="C115" s="26" t="inlineStr">
        <is>
          <t>Transport Décembre</t>
        </is>
      </c>
      <c r="D115" s="26" t="inlineStr">
        <is>
          <t>LOGISTIQUE</t>
        </is>
      </c>
      <c r="E115" s="28" t="inlineStr">
        <is>
          <t>EXPENSE</t>
        </is>
      </c>
      <c r="F115" s="27" t="n">
        <v>2333333</v>
      </c>
      <c r="G115" s="26" t="inlineStr"/>
    </row>
    <row r="116" ht="16" customHeight="1">
      <c r="A116" s="23" t="inlineStr">
        <is>
          <t>2026-12-15</t>
        </is>
      </c>
      <c r="B116" s="23" t="inlineStr">
        <is>
          <t>631000</t>
        </is>
      </c>
      <c r="C116" s="23" t="inlineStr">
        <is>
          <t>TVA T4 et impôts</t>
        </is>
      </c>
      <c r="D116" s="23" t="inlineStr">
        <is>
          <t>FINANCE</t>
        </is>
      </c>
      <c r="E116" s="28" t="inlineStr">
        <is>
          <t>EXPENSE</t>
        </is>
      </c>
      <c r="F116" s="25" t="n">
        <v>3750000</v>
      </c>
      <c r="G116" s="23" t="inlineStr"/>
    </row>
    <row r="117" ht="16" customHeight="1">
      <c r="A117" s="26" t="inlineStr">
        <is>
          <t>2026-12-15</t>
        </is>
      </c>
      <c r="B117" s="26" t="inlineStr">
        <is>
          <t>627000</t>
        </is>
      </c>
      <c r="C117" s="26" t="inlineStr">
        <is>
          <t>Frais bancaires annuels</t>
        </is>
      </c>
      <c r="D117" s="26" t="inlineStr">
        <is>
          <t>FINANCE</t>
        </is>
      </c>
      <c r="E117" s="28" t="inlineStr">
        <is>
          <t>EXPENSE</t>
        </is>
      </c>
      <c r="F117" s="27" t="n">
        <v>666667</v>
      </c>
      <c r="G117" s="26" t="inlineStr"/>
    </row>
    <row r="118">
      <c r="A118" s="29" t="inlineStr">
        <is>
          <t>TOTAL REVENUS ANNUELS</t>
        </is>
      </c>
      <c r="F118" s="30" t="n">
        <v>520000000</v>
      </c>
    </row>
    <row r="119">
      <c r="A119" s="31" t="inlineStr">
        <is>
          <t>TOTAL CHARGES ANNUELLES</t>
        </is>
      </c>
      <c r="F119" s="32" t="n">
        <v>430716668</v>
      </c>
    </row>
    <row r="120">
      <c r="A120" s="17" t="inlineStr">
        <is>
          <t>EBITDA RÉEL</t>
        </is>
      </c>
      <c r="F120" s="18" t="n">
        <v>89283332</v>
      </c>
    </row>
  </sheetData>
  <mergeCells count="16">
    <mergeCell ref="A13:G13"/>
    <mergeCell ref="A1:G1"/>
    <mergeCell ref="A88:G88"/>
    <mergeCell ref="A70:G70"/>
    <mergeCell ref="A79:G79"/>
    <mergeCell ref="A97:G97"/>
    <mergeCell ref="A3:G3"/>
    <mergeCell ref="A120:E120"/>
    <mergeCell ref="A62:G62"/>
    <mergeCell ref="A118:E118"/>
    <mergeCell ref="A52:G52"/>
    <mergeCell ref="A119:E119"/>
    <mergeCell ref="A33:G33"/>
    <mergeCell ref="A107:G107"/>
    <mergeCell ref="A42:G42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5" customWidth="1" min="4" max="4"/>
    <col width="15" customWidth="1" min="5" max="5"/>
    <col width="20" customWidth="1" min="6" max="6"/>
  </cols>
  <sheetData>
    <row r="1" ht="28" customHeight="1">
      <c r="A1" s="20" t="inlineStr">
        <is>
          <t>PLAN DE TRÉSORERIE — SARL Industrie Sénégal</t>
        </is>
      </c>
    </row>
    <row r="2" ht="22" customHeight="1">
      <c r="A2" s="33" t="inlineStr">
        <is>
          <t>Libellé</t>
        </is>
      </c>
      <c r="B2" s="33" t="inlineStr">
        <is>
          <t>Type de flux</t>
        </is>
      </c>
      <c r="C2" s="33" t="inlineStr">
        <is>
          <t>Direction</t>
        </is>
      </c>
      <c r="D2" s="33" t="inlineStr">
        <is>
          <t>Montant (FCFA)</t>
        </is>
      </c>
      <c r="E2" s="33" t="inlineStr">
        <is>
          <t>Date prévue</t>
        </is>
      </c>
      <c r="F2" s="33" t="inlineStr">
        <is>
          <t>Compte bancaire</t>
        </is>
      </c>
    </row>
    <row r="3" ht="20" customHeight="1">
      <c r="A3" s="5" t="inlineStr">
        <is>
          <t>Encaissement clients Q1</t>
        </is>
      </c>
      <c r="B3" s="5" t="inlineStr">
        <is>
          <t>ENCAISSEMENT_CLIENT</t>
        </is>
      </c>
      <c r="C3" s="8" t="inlineStr">
        <is>
          <t>IN</t>
        </is>
      </c>
      <c r="D3" s="9" t="n">
        <v>150000000</v>
      </c>
      <c r="E3" s="5" t="inlineStr">
        <is>
          <t>2026-03-31</t>
        </is>
      </c>
      <c r="F3" s="5" t="inlineStr">
        <is>
          <t>CBAO Principal</t>
        </is>
      </c>
    </row>
    <row r="4" ht="20" customHeight="1">
      <c r="A4" s="10" t="inlineStr">
        <is>
          <t>Encaissement clients Q2</t>
        </is>
      </c>
      <c r="B4" s="10" t="inlineStr">
        <is>
          <t>ENCAISSEMENT_CLIENT</t>
        </is>
      </c>
      <c r="C4" s="8" t="inlineStr">
        <is>
          <t>IN</t>
        </is>
      </c>
      <c r="D4" s="11" t="n">
        <v>165000000</v>
      </c>
      <c r="E4" s="10" t="inlineStr">
        <is>
          <t>2026-06-30</t>
        </is>
      </c>
      <c r="F4" s="10" t="inlineStr">
        <is>
          <t>CBAO Principal</t>
        </is>
      </c>
    </row>
    <row r="5" ht="20" customHeight="1">
      <c r="A5" s="5" t="inlineStr">
        <is>
          <t>Encaissement clients Q3</t>
        </is>
      </c>
      <c r="B5" s="5" t="inlineStr">
        <is>
          <t>ENCAISSEMENT_CLIENT</t>
        </is>
      </c>
      <c r="C5" s="8" t="inlineStr">
        <is>
          <t>IN</t>
        </is>
      </c>
      <c r="D5" s="9" t="n">
        <v>155000000</v>
      </c>
      <c r="E5" s="5" t="inlineStr">
        <is>
          <t>2026-09-30</t>
        </is>
      </c>
      <c r="F5" s="5" t="inlineStr">
        <is>
          <t>CBAO Principal</t>
        </is>
      </c>
    </row>
    <row r="6" ht="20" customHeight="1">
      <c r="A6" s="10" t="inlineStr">
        <is>
          <t>Encaissement clients Q4</t>
        </is>
      </c>
      <c r="B6" s="10" t="inlineStr">
        <is>
          <t>ENCAISSEMENT_CLIENT</t>
        </is>
      </c>
      <c r="C6" s="8" t="inlineStr">
        <is>
          <t>IN</t>
        </is>
      </c>
      <c r="D6" s="11" t="n">
        <v>180000000</v>
      </c>
      <c r="E6" s="10" t="inlineStr">
        <is>
          <t>2026-12-31</t>
        </is>
      </c>
      <c r="F6" s="10" t="inlineStr">
        <is>
          <t>CBAO Principal</t>
        </is>
      </c>
    </row>
    <row r="7" ht="20" customHeight="1">
      <c r="A7" s="5" t="inlineStr">
        <is>
          <t>Subvention ANPME</t>
        </is>
      </c>
      <c r="B7" s="5" t="inlineStr">
        <is>
          <t>AUTRE_ENTREE</t>
        </is>
      </c>
      <c r="C7" s="8" t="inlineStr">
        <is>
          <t>IN</t>
        </is>
      </c>
      <c r="D7" s="9" t="n">
        <v>15000000</v>
      </c>
      <c r="E7" s="5" t="inlineStr">
        <is>
          <t>2026-04-15</t>
        </is>
      </c>
      <c r="F7" s="5" t="inlineStr">
        <is>
          <t>CBAO Principal</t>
        </is>
      </c>
    </row>
    <row r="8" ht="20" customHeight="1">
      <c r="A8" s="10" t="inlineStr">
        <is>
          <t>Remboursement TVA</t>
        </is>
      </c>
      <c r="B8" s="10" t="inlineStr">
        <is>
          <t>AUTRE_ENTREE</t>
        </is>
      </c>
      <c r="C8" s="8" t="inlineStr">
        <is>
          <t>IN</t>
        </is>
      </c>
      <c r="D8" s="11" t="n">
        <v>8000000</v>
      </c>
      <c r="E8" s="10" t="inlineStr">
        <is>
          <t>2026-07-01</t>
        </is>
      </c>
      <c r="F8" s="10" t="inlineStr">
        <is>
          <t>CBAO Principal</t>
        </is>
      </c>
    </row>
    <row r="9" ht="20" customHeight="1">
      <c r="A9" s="5" t="inlineStr">
        <is>
          <t>Paiement fournisseurs MP Q1</t>
        </is>
      </c>
      <c r="B9" s="5" t="inlineStr">
        <is>
          <t>DECAISSEMENT_FOURNISSEUR</t>
        </is>
      </c>
      <c r="C9" s="12" t="inlineStr">
        <is>
          <t>OUT</t>
        </is>
      </c>
      <c r="D9" s="9" t="n">
        <v>65000000</v>
      </c>
      <c r="E9" s="5" t="inlineStr">
        <is>
          <t>2026-03-15</t>
        </is>
      </c>
      <c r="F9" s="5" t="inlineStr">
        <is>
          <t>CBAO Principal</t>
        </is>
      </c>
    </row>
    <row r="10" ht="20" customHeight="1">
      <c r="A10" s="10" t="inlineStr">
        <is>
          <t>Paiement fournisseurs MP Q2</t>
        </is>
      </c>
      <c r="B10" s="10" t="inlineStr">
        <is>
          <t>DECAISSEMENT_FOURNISSEUR</t>
        </is>
      </c>
      <c r="C10" s="12" t="inlineStr">
        <is>
          <t>OUT</t>
        </is>
      </c>
      <c r="D10" s="11" t="n">
        <v>72000000</v>
      </c>
      <c r="E10" s="10" t="inlineStr">
        <is>
          <t>2026-06-15</t>
        </is>
      </c>
      <c r="F10" s="10" t="inlineStr">
        <is>
          <t>CBAO Principal</t>
        </is>
      </c>
    </row>
    <row r="11" ht="20" customHeight="1">
      <c r="A11" s="5" t="inlineStr">
        <is>
          <t>Paiement fournisseurs MP Q3</t>
        </is>
      </c>
      <c r="B11" s="5" t="inlineStr">
        <is>
          <t>DECAISSEMENT_FOURNISSEUR</t>
        </is>
      </c>
      <c r="C11" s="12" t="inlineStr">
        <is>
          <t>OUT</t>
        </is>
      </c>
      <c r="D11" s="9" t="n">
        <v>68000000</v>
      </c>
      <c r="E11" s="5" t="inlineStr">
        <is>
          <t>2026-09-15</t>
        </is>
      </c>
      <c r="F11" s="5" t="inlineStr">
        <is>
          <t>CBAO Principal</t>
        </is>
      </c>
    </row>
    <row r="12" ht="20" customHeight="1">
      <c r="A12" s="10" t="inlineStr">
        <is>
          <t>Paiement fournisseurs MP Q4</t>
        </is>
      </c>
      <c r="B12" s="10" t="inlineStr">
        <is>
          <t>DECAISSEMENT_FOURNISSEUR</t>
        </is>
      </c>
      <c r="C12" s="12" t="inlineStr">
        <is>
          <t>OUT</t>
        </is>
      </c>
      <c r="D12" s="11" t="n">
        <v>78000000</v>
      </c>
      <c r="E12" s="10" t="inlineStr">
        <is>
          <t>2026-12-15</t>
        </is>
      </c>
      <c r="F12" s="10" t="inlineStr">
        <is>
          <t>CBAO Principal</t>
        </is>
      </c>
    </row>
    <row r="13" ht="20" customHeight="1">
      <c r="A13" s="5" t="inlineStr">
        <is>
          <t>Salaires mensuels (×12)</t>
        </is>
      </c>
      <c r="B13" s="5" t="inlineStr">
        <is>
          <t>SALAIRES</t>
        </is>
      </c>
      <c r="C13" s="12" t="inlineStr">
        <is>
          <t>OUT</t>
        </is>
      </c>
      <c r="D13" s="9" t="n">
        <v>95000000</v>
      </c>
      <c r="E13" s="5" t="inlineStr">
        <is>
          <t>2026-12-31</t>
        </is>
      </c>
      <c r="F13" s="5" t="inlineStr">
        <is>
          <t>CBAO Salaires</t>
        </is>
      </c>
    </row>
    <row r="14" ht="20" customHeight="1">
      <c r="A14" s="10" t="inlineStr">
        <is>
          <t>Charges fiscales annuelles</t>
        </is>
      </c>
      <c r="B14" s="10" t="inlineStr">
        <is>
          <t>IMPOTS_TAXES</t>
        </is>
      </c>
      <c r="C14" s="12" t="inlineStr">
        <is>
          <t>OUT</t>
        </is>
      </c>
      <c r="D14" s="11" t="n">
        <v>15000000</v>
      </c>
      <c r="E14" s="10" t="inlineStr">
        <is>
          <t>2026-04-30</t>
        </is>
      </c>
      <c r="F14" s="10" t="inlineStr">
        <is>
          <t>CBAO Principal</t>
        </is>
      </c>
    </row>
    <row r="15" ht="20" customHeight="1">
      <c r="A15" s="5" t="inlineStr">
        <is>
          <t>Renouvellement équipement</t>
        </is>
      </c>
      <c r="B15" s="5" t="inlineStr">
        <is>
          <t>INVESTISSEMENT</t>
        </is>
      </c>
      <c r="C15" s="12" t="inlineStr">
        <is>
          <t>OUT</t>
        </is>
      </c>
      <c r="D15" s="9" t="n">
        <v>35000000</v>
      </c>
      <c r="E15" s="5" t="inlineStr">
        <is>
          <t>2026-06-01</t>
        </is>
      </c>
      <c r="F15" s="5" t="inlineStr">
        <is>
          <t>CBAO Principal</t>
        </is>
      </c>
    </row>
    <row r="16" ht="20" customHeight="1">
      <c r="A16" s="10" t="inlineStr">
        <is>
          <t>Remboursement emprunt S1</t>
        </is>
      </c>
      <c r="B16" s="10" t="inlineStr">
        <is>
          <t>FINANCEMENT</t>
        </is>
      </c>
      <c r="C16" s="12" t="inlineStr">
        <is>
          <t>OUT</t>
        </is>
      </c>
      <c r="D16" s="11" t="n">
        <v>12000000</v>
      </c>
      <c r="E16" s="10" t="inlineStr">
        <is>
          <t>2026-06-30</t>
        </is>
      </c>
      <c r="F16" s="10" t="inlineStr">
        <is>
          <t>CBAO Principal</t>
        </is>
      </c>
    </row>
    <row r="17" ht="20" customHeight="1">
      <c r="A17" s="5" t="inlineStr">
        <is>
          <t>Remboursement emprunt S2</t>
        </is>
      </c>
      <c r="B17" s="5" t="inlineStr">
        <is>
          <t>FINANCEMENT</t>
        </is>
      </c>
      <c r="C17" s="12" t="inlineStr">
        <is>
          <t>OUT</t>
        </is>
      </c>
      <c r="D17" s="9" t="n">
        <v>12000000</v>
      </c>
      <c r="E17" s="5" t="inlineStr">
        <is>
          <t>2026-12-31</t>
        </is>
      </c>
      <c r="F17" s="5" t="inlineStr">
        <is>
          <t>CBAO Principal</t>
        </is>
      </c>
    </row>
    <row r="18" ht="20" customHeight="1">
      <c r="A18" s="10" t="inlineStr">
        <is>
          <t>Frais bancaires annuels</t>
        </is>
      </c>
      <c r="B18" s="10" t="inlineStr">
        <is>
          <t>AUTRE_SORTIE</t>
        </is>
      </c>
      <c r="C18" s="12" t="inlineStr">
        <is>
          <t>OUT</t>
        </is>
      </c>
      <c r="D18" s="11" t="n">
        <v>8000000</v>
      </c>
      <c r="E18" s="10" t="inlineStr">
        <is>
          <t>2026-12-31</t>
        </is>
      </c>
      <c r="F18" s="10" t="inlineStr">
        <is>
          <t>CBAO Principal</t>
        </is>
      </c>
    </row>
    <row r="19">
      <c r="A19" s="34" t="inlineStr">
        <is>
          <t>TOTAL ENTRÉES</t>
        </is>
      </c>
      <c r="D19" s="14" t="n">
        <v>673000000</v>
      </c>
    </row>
    <row r="20">
      <c r="A20" s="35" t="inlineStr">
        <is>
          <t>TOTAL SORTIES</t>
        </is>
      </c>
      <c r="D20" s="16" t="n">
        <v>460000000</v>
      </c>
    </row>
    <row r="21">
      <c r="A21" s="36" t="inlineStr">
        <is>
          <t>TRÉSORERIE NETTE</t>
        </is>
      </c>
      <c r="D21" s="18" t="n">
        <v>213000000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20" customWidth="1" min="4" max="4"/>
    <col width="20" customWidth="1" min="5" max="5"/>
    <col width="20" customWidth="1" min="6" max="6"/>
  </cols>
  <sheetData>
    <row r="1">
      <c r="A1" s="20" t="inlineStr">
        <is>
          <t>SCÉNARIOS &amp; HYPOTHÈSES — FY2026</t>
        </is>
      </c>
    </row>
    <row r="2">
      <c r="A2" s="7" t="inlineStr">
        <is>
          <t>Hypothèse</t>
        </is>
      </c>
      <c r="B2" s="7" t="inlineStr">
        <is>
          <t>Paramètre</t>
        </is>
      </c>
      <c r="C2" s="7" t="inlineStr">
        <is>
          <t>Unité</t>
        </is>
      </c>
      <c r="D2" s="21" t="inlineStr">
        <is>
          <t>BASE</t>
        </is>
      </c>
      <c r="E2" s="33" t="inlineStr">
        <is>
          <t>OPTIMISTE</t>
        </is>
      </c>
      <c r="F2" s="7" t="inlineStr">
        <is>
          <t>PESSIMISTE</t>
        </is>
      </c>
    </row>
    <row r="3" ht="22" customHeight="1">
      <c r="A3" s="5" t="inlineStr">
        <is>
          <t>Croissance CA</t>
        </is>
      </c>
      <c r="B3" s="5" t="inlineStr">
        <is>
          <t>revenue_growth</t>
        </is>
      </c>
      <c r="C3" s="5" t="inlineStr">
        <is>
          <t>%</t>
        </is>
      </c>
      <c r="D3" s="37" t="n">
        <v>5</v>
      </c>
      <c r="E3" s="37" t="n">
        <v>15</v>
      </c>
      <c r="F3" s="37" t="n">
        <v>-5</v>
      </c>
    </row>
    <row r="4" ht="22" customHeight="1">
      <c r="A4" s="10" t="inlineStr">
        <is>
          <t>Réduction achats MP</t>
        </is>
      </c>
      <c r="B4" s="10" t="inlineStr">
        <is>
          <t>cost_reduction</t>
        </is>
      </c>
      <c r="C4" s="10" t="inlineStr">
        <is>
          <t>%</t>
        </is>
      </c>
      <c r="D4" s="38" t="n">
        <v>0</v>
      </c>
      <c r="E4" s="38" t="n">
        <v>8</v>
      </c>
      <c r="F4" s="38" t="n">
        <v>-3</v>
      </c>
    </row>
    <row r="5" ht="22" customHeight="1">
      <c r="A5" s="5" t="inlineStr">
        <is>
          <t>Augmentation salaires</t>
        </is>
      </c>
      <c r="B5" s="5" t="inlineStr">
        <is>
          <t>payroll_increase</t>
        </is>
      </c>
      <c r="C5" s="5" t="inlineStr">
        <is>
          <t>%</t>
        </is>
      </c>
      <c r="D5" s="37" t="n">
        <v>3</v>
      </c>
      <c r="E5" s="37" t="n">
        <v>3</v>
      </c>
      <c r="F5" s="37" t="n">
        <v>5</v>
      </c>
    </row>
    <row r="6" ht="22" customHeight="1">
      <c r="A6" s="10" t="inlineStr">
        <is>
          <t>Investissement équipement</t>
        </is>
      </c>
      <c r="B6" s="10" t="inlineStr">
        <is>
          <t>capex_increase</t>
        </is>
      </c>
      <c r="C6" s="10" t="inlineStr">
        <is>
          <t>FCFA</t>
        </is>
      </c>
      <c r="D6" s="39" t="n">
        <v>0</v>
      </c>
      <c r="E6" s="39" t="n">
        <v>20000000</v>
      </c>
      <c r="F6" s="39" t="n">
        <v>0</v>
      </c>
    </row>
    <row r="7" ht="22" customHeight="1">
      <c r="A7" s="5" t="inlineStr">
        <is>
          <t>Croissance export</t>
        </is>
      </c>
      <c r="B7" s="5" t="inlineStr">
        <is>
          <t>export_growth</t>
        </is>
      </c>
      <c r="C7" s="5" t="inlineStr">
        <is>
          <t>%</t>
        </is>
      </c>
      <c r="D7" s="37" t="n">
        <v>8</v>
      </c>
      <c r="E7" s="37" t="n">
        <v>25</v>
      </c>
      <c r="F7" s="37" t="n">
        <v>0</v>
      </c>
    </row>
    <row r="8" ht="22" customHeight="1">
      <c r="A8" s="10" t="inlineStr">
        <is>
          <t>Délai clients (DSO)</t>
        </is>
      </c>
      <c r="B8" s="10" t="inlineStr">
        <is>
          <t>dso_change</t>
        </is>
      </c>
      <c r="C8" s="10" t="inlineStr">
        <is>
          <t>jours</t>
        </is>
      </c>
      <c r="D8" s="39" t="n">
        <v>45</v>
      </c>
      <c r="E8" s="39" t="n">
        <v>30</v>
      </c>
      <c r="F8" s="39" t="n">
        <v>60</v>
      </c>
    </row>
    <row r="9" ht="22" customHeight="1">
      <c r="A9" s="5" t="inlineStr">
        <is>
          <t>Délai fournisseurs (DPO)</t>
        </is>
      </c>
      <c r="B9" s="5" t="inlineStr">
        <is>
          <t>dpo_change</t>
        </is>
      </c>
      <c r="C9" s="5" t="inlineStr">
        <is>
          <t>jours</t>
        </is>
      </c>
      <c r="D9" s="40" t="n">
        <v>30</v>
      </c>
      <c r="E9" s="40" t="n">
        <v>45</v>
      </c>
      <c r="F9" s="40" t="n">
        <v>20</v>
      </c>
    </row>
    <row r="10" ht="22" customHeight="1">
      <c r="A10" s="10" t="inlineStr">
        <is>
          <t>Taux de rebut production</t>
        </is>
      </c>
      <c r="B10" s="10" t="inlineStr">
        <is>
          <t>defect_rate</t>
        </is>
      </c>
      <c r="C10" s="10" t="inlineStr">
        <is>
          <t>%</t>
        </is>
      </c>
      <c r="D10" s="38" t="n">
        <v>3</v>
      </c>
      <c r="E10" s="38" t="n">
        <v>1</v>
      </c>
      <c r="F10" s="38" t="n">
        <v>6</v>
      </c>
    </row>
    <row r="13">
      <c r="A13" s="3" t="inlineStr">
        <is>
          <t>SORTIES ATTENDUES PAR SCÉNARIO</t>
        </is>
      </c>
    </row>
    <row r="14">
      <c r="A14" s="21" t="inlineStr">
        <is>
          <t>Indicateur</t>
        </is>
      </c>
      <c r="B14" s="21" t="inlineStr">
        <is>
          <t>BASE</t>
        </is>
      </c>
      <c r="C14" s="21" t="inlineStr">
        <is>
          <t>OPTIMISTE</t>
        </is>
      </c>
      <c r="D14" s="21" t="inlineStr">
        <is>
          <t>PESSIMISTE</t>
        </is>
      </c>
    </row>
    <row r="15">
      <c r="A15" s="41" t="inlineStr">
        <is>
          <t>CA projeté (FCFA)</t>
        </is>
      </c>
      <c r="B15" s="42" t="n">
        <v>555000000</v>
      </c>
      <c r="C15" s="42" t="n">
        <v>615000000</v>
      </c>
      <c r="D15" s="42" t="n">
        <v>497000000</v>
      </c>
    </row>
    <row r="16">
      <c r="A16" s="43" t="inlineStr">
        <is>
          <t>EBITDA projeté (FCFA)</t>
        </is>
      </c>
      <c r="B16" s="44" t="n">
        <v>110000000</v>
      </c>
      <c r="C16" s="44" t="n">
        <v>175000000</v>
      </c>
      <c r="D16" s="44" t="n">
        <v>55000000</v>
      </c>
    </row>
    <row r="17">
      <c r="A17" s="41" t="inlineStr">
        <is>
          <t>Marge EBITDA (%)</t>
        </is>
      </c>
      <c r="B17" s="42" t="n">
        <v>19.8</v>
      </c>
      <c r="C17" s="42" t="n">
        <v>28.5</v>
      </c>
      <c r="D17" s="42" t="n">
        <v>11.1</v>
      </c>
    </row>
    <row r="18">
      <c r="A18" s="43" t="inlineStr">
        <is>
          <t>Résultat net projeté (FCFA)</t>
        </is>
      </c>
      <c r="B18" s="44" t="n">
        <v>88000000</v>
      </c>
      <c r="C18" s="44" t="n">
        <v>153000000</v>
      </c>
      <c r="D18" s="44" t="n">
        <v>33000000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20" customWidth="1" min="4" max="4"/>
  </cols>
  <sheetData>
    <row r="1">
      <c r="A1" s="20" t="inlineStr">
        <is>
          <t>SORTIES ATTENDUES — KPIs &amp; ÉTATS FINANCIERS</t>
        </is>
      </c>
    </row>
    <row r="3" ht="22" customHeight="1">
      <c r="A3" s="45" t="inlineStr">
        <is>
          <t>COMPTE DE RÉSULTAT SYSCOHADA</t>
        </is>
      </c>
    </row>
    <row r="4" ht="18" customHeight="1">
      <c r="A4" s="46" t="inlineStr">
        <is>
          <t>Indicateur</t>
        </is>
      </c>
      <c r="B4" s="46" t="inlineStr">
        <is>
          <t>Valeur Attendue</t>
        </is>
      </c>
      <c r="C4" s="46" t="inlineStr">
        <is>
          <t>Tolérance</t>
        </is>
      </c>
      <c r="D4" s="46" t="inlineStr">
        <is>
          <t>Statut Test</t>
        </is>
      </c>
    </row>
    <row r="5" ht="18" customHeight="1">
      <c r="A5" s="41" t="inlineStr">
        <is>
          <t>XB — Chiffre d'Affaires</t>
        </is>
      </c>
      <c r="B5" s="47" t="inlineStr">
        <is>
          <t>520,000,000 FCFA</t>
        </is>
      </c>
      <c r="C5" s="48" t="inlineStr">
        <is>
          <t>± 1%</t>
        </is>
      </c>
      <c r="D5" s="26" t="inlineStr">
        <is>
          <t>⬜ À vérifier</t>
        </is>
      </c>
    </row>
    <row r="6" ht="18" customHeight="1">
      <c r="A6" s="43" t="inlineStr">
        <is>
          <t>XD — EBE (EBITDA)</t>
        </is>
      </c>
      <c r="B6" s="49" t="inlineStr">
        <is>
          <t>89,283,332 FCFA</t>
        </is>
      </c>
      <c r="C6" s="50" t="inlineStr">
        <is>
          <t>± 1%</t>
        </is>
      </c>
      <c r="D6" s="23" t="inlineStr">
        <is>
          <t>⬜ À vérifier</t>
        </is>
      </c>
    </row>
    <row r="7" ht="18" customHeight="1">
      <c r="A7" s="41" t="inlineStr">
        <is>
          <t>XI — Résultat Net</t>
        </is>
      </c>
      <c r="B7" s="47" t="inlineStr">
        <is>
          <t>67,283,332 FCFA</t>
        </is>
      </c>
      <c r="C7" s="48" t="inlineStr">
        <is>
          <t>± 2%</t>
        </is>
      </c>
      <c r="D7" s="26" t="inlineStr">
        <is>
          <t>⬜ À vérifier</t>
        </is>
      </c>
    </row>
    <row r="8" ht="18" customHeight="1">
      <c r="A8" s="43" t="inlineStr">
        <is>
          <t>XA — Marge Brute sur Marchandises</t>
        </is>
      </c>
      <c r="B8" s="49" t="inlineStr">
        <is>
          <t>307,700,000 FCFA</t>
        </is>
      </c>
      <c r="C8" s="50" t="inlineStr">
        <is>
          <t>± 1%</t>
        </is>
      </c>
      <c r="D8" s="23" t="inlineStr">
        <is>
          <t>⬜ À vérifier</t>
        </is>
      </c>
    </row>
    <row r="10" ht="22" customHeight="1">
      <c r="A10" s="45" t="inlineStr">
        <is>
          <t>KPIs PROFITABILITÉ</t>
        </is>
      </c>
    </row>
    <row r="11" ht="18" customHeight="1">
      <c r="A11" s="46" t="inlineStr">
        <is>
          <t>Indicateur</t>
        </is>
      </c>
      <c r="B11" s="46" t="inlineStr">
        <is>
          <t>Valeur Attendue</t>
        </is>
      </c>
      <c r="C11" s="46" t="inlineStr">
        <is>
          <t>Tolérance</t>
        </is>
      </c>
      <c r="D11" s="46" t="inlineStr">
        <is>
          <t>Statut Test</t>
        </is>
      </c>
    </row>
    <row r="12" ht="18" customHeight="1">
      <c r="A12" s="43" t="inlineStr">
        <is>
          <t>Marge Brute (%)</t>
        </is>
      </c>
      <c r="B12" s="49" t="inlineStr">
        <is>
          <t>59.2%</t>
        </is>
      </c>
      <c r="C12" s="50" t="inlineStr">
        <is>
          <t>± 0.5%</t>
        </is>
      </c>
      <c r="D12" s="23" t="inlineStr">
        <is>
          <t>⬜ À vérifier</t>
        </is>
      </c>
    </row>
    <row r="13" ht="18" customHeight="1">
      <c r="A13" s="41" t="inlineStr">
        <is>
          <t>Marge EBITDA (%)</t>
        </is>
      </c>
      <c r="B13" s="47" t="inlineStr">
        <is>
          <t>17.2%</t>
        </is>
      </c>
      <c r="C13" s="48" t="inlineStr">
        <is>
          <t>± 0.5%</t>
        </is>
      </c>
      <c r="D13" s="26" t="inlineStr">
        <is>
          <t>⬜ À vérifier</t>
        </is>
      </c>
    </row>
    <row r="14" ht="18" customHeight="1">
      <c r="A14" s="43" t="inlineStr">
        <is>
          <t>Marge Nette (%)</t>
        </is>
      </c>
      <c r="B14" s="49" t="inlineStr">
        <is>
          <t>12.9%</t>
        </is>
      </c>
      <c r="C14" s="50" t="inlineStr">
        <is>
          <t>± 0.5%</t>
        </is>
      </c>
      <c r="D14" s="23" t="inlineStr">
        <is>
          <t>⬜ À vérifier</t>
        </is>
      </c>
    </row>
    <row r="16" ht="22" customHeight="1">
      <c r="A16" s="45" t="inlineStr">
        <is>
          <t>KPIs ACTIVITÉ</t>
        </is>
      </c>
    </row>
    <row r="17" ht="18" customHeight="1">
      <c r="A17" s="46" t="inlineStr">
        <is>
          <t>Indicateur</t>
        </is>
      </c>
      <c r="B17" s="46" t="inlineStr">
        <is>
          <t>Valeur Attendue</t>
        </is>
      </c>
      <c r="C17" s="46" t="inlineStr">
        <is>
          <t>Tolérance</t>
        </is>
      </c>
      <c r="D17" s="46" t="inlineStr">
        <is>
          <t>Statut Test</t>
        </is>
      </c>
    </row>
    <row r="18" ht="18" customHeight="1">
      <c r="A18" s="43" t="inlineStr">
        <is>
          <t>DSO — Délai clients (jours)</t>
        </is>
      </c>
      <c r="B18" s="49" t="inlineStr">
        <is>
          <t>~42 jours</t>
        </is>
      </c>
      <c r="C18" s="50" t="inlineStr">
        <is>
          <t>± 5 jours</t>
        </is>
      </c>
      <c r="D18" s="23" t="inlineStr">
        <is>
          <t>⬜ À vérifier</t>
        </is>
      </c>
    </row>
    <row r="19" ht="18" customHeight="1">
      <c r="A19" s="41" t="inlineStr">
        <is>
          <t>DPO — Délai fournisseurs (jours)</t>
        </is>
      </c>
      <c r="B19" s="47" t="inlineStr">
        <is>
          <t>~35 jours</t>
        </is>
      </c>
      <c r="C19" s="48" t="inlineStr">
        <is>
          <t>± 5 jours</t>
        </is>
      </c>
      <c r="D19" s="26" t="inlineStr">
        <is>
          <t>⬜ À vérifier</t>
        </is>
      </c>
    </row>
    <row r="20" ht="18" customHeight="1">
      <c r="A20" s="43" t="inlineStr">
        <is>
          <t>Rotation actif</t>
        </is>
      </c>
      <c r="B20" s="49" t="inlineStr">
        <is>
          <t>~0.85x</t>
        </is>
      </c>
      <c r="C20" s="50" t="inlineStr">
        <is>
          <t>± 0.05x</t>
        </is>
      </c>
      <c r="D20" s="23" t="inlineStr">
        <is>
          <t>⬜ À vérifier</t>
        </is>
      </c>
    </row>
    <row r="22" ht="22" customHeight="1">
      <c r="A22" s="45" t="inlineStr">
        <is>
          <t>KPIs LIQUIDITÉ</t>
        </is>
      </c>
    </row>
    <row r="23" ht="18" customHeight="1">
      <c r="A23" s="46" t="inlineStr">
        <is>
          <t>Indicateur</t>
        </is>
      </c>
      <c r="B23" s="46" t="inlineStr">
        <is>
          <t>Valeur Attendue</t>
        </is>
      </c>
      <c r="C23" s="46" t="inlineStr">
        <is>
          <t>Tolérance</t>
        </is>
      </c>
      <c r="D23" s="46" t="inlineStr">
        <is>
          <t>Statut Test</t>
        </is>
      </c>
    </row>
    <row r="24" ht="18" customHeight="1">
      <c r="A24" s="43" t="inlineStr">
        <is>
          <t>Current Ratio</t>
        </is>
      </c>
      <c r="B24" s="49" t="inlineStr">
        <is>
          <t>~1.8x</t>
        </is>
      </c>
      <c r="C24" s="50" t="inlineStr">
        <is>
          <t>± 0.2x</t>
        </is>
      </c>
      <c r="D24" s="23" t="inlineStr">
        <is>
          <t>⬜ À vérifier</t>
        </is>
      </c>
    </row>
    <row r="25" ht="18" customHeight="1">
      <c r="A25" s="41" t="inlineStr">
        <is>
          <t>Quick Ratio</t>
        </is>
      </c>
      <c r="B25" s="47" t="inlineStr">
        <is>
          <t>~1.3x</t>
        </is>
      </c>
      <c r="C25" s="48" t="inlineStr">
        <is>
          <t>± 0.2x</t>
        </is>
      </c>
      <c r="D25" s="26" t="inlineStr">
        <is>
          <t>⬜ À vérifier</t>
        </is>
      </c>
    </row>
    <row r="26" ht="18" customHeight="1">
      <c r="A26" s="43" t="inlineStr">
        <is>
          <t>Runway Trésorerie</t>
        </is>
      </c>
      <c r="B26" s="49" t="inlineStr">
        <is>
          <t>~6 semaines</t>
        </is>
      </c>
      <c r="C26" s="50" t="inlineStr">
        <is>
          <t>± 2 semaines</t>
        </is>
      </c>
      <c r="D26" s="23" t="inlineStr">
        <is>
          <t>⬜ À vérifier</t>
        </is>
      </c>
    </row>
    <row r="28" ht="22" customHeight="1">
      <c r="A28" s="45" t="inlineStr">
        <is>
          <t>BILAN</t>
        </is>
      </c>
    </row>
    <row r="29" ht="18" customHeight="1">
      <c r="A29" s="46" t="inlineStr">
        <is>
          <t>Indicateur</t>
        </is>
      </c>
      <c r="B29" s="46" t="inlineStr">
        <is>
          <t>Valeur Attendue</t>
        </is>
      </c>
      <c r="C29" s="46" t="inlineStr">
        <is>
          <t>Tolérance</t>
        </is>
      </c>
      <c r="D29" s="46" t="inlineStr">
        <is>
          <t>Statut Test</t>
        </is>
      </c>
    </row>
    <row r="30" ht="18" customHeight="1">
      <c r="A30" s="43" t="inlineStr">
        <is>
          <t>Total Actif = Total Passif</t>
        </is>
      </c>
      <c r="B30" s="49" t="inlineStr">
        <is>
          <t>Équilibré ✅</t>
        </is>
      </c>
      <c r="C30" s="50" t="inlineStr">
        <is>
          <t>Écart &lt; 0.01 FCFA</t>
        </is>
      </c>
      <c r="D30" s="23" t="inlineStr">
        <is>
          <t>⬜ À vérifier</t>
        </is>
      </c>
    </row>
    <row r="31" ht="18" customHeight="1">
      <c r="A31" s="41" t="inlineStr">
        <is>
          <t>Résultat net (CI Passif)</t>
        </is>
      </c>
      <c r="B31" s="47" t="inlineStr">
        <is>
          <t>67,283,332 FCFA</t>
        </is>
      </c>
      <c r="C31" s="48">
        <f> XI Compte de Résultat</f>
        <v/>
      </c>
      <c r="D31" s="26" t="inlineStr">
        <is>
          <t>⬜ À vérifier</t>
        </is>
      </c>
    </row>
    <row r="32" ht="18" customHeight="1">
      <c r="A32" s="43" t="inlineStr">
        <is>
          <t>Trésorerie Actif (BS)</t>
        </is>
      </c>
      <c r="B32" s="49" t="inlineStr">
        <is>
          <t>213,000,000 FCFA</t>
        </is>
      </c>
      <c r="C32" s="50" t="inlineStr">
        <is>
          <t>± 5%</t>
        </is>
      </c>
      <c r="D32" s="23" t="inlineStr">
        <is>
          <t>⬜ À vérifier</t>
        </is>
      </c>
    </row>
  </sheetData>
  <mergeCells count="6">
    <mergeCell ref="A1:D1"/>
    <mergeCell ref="A22:D22"/>
    <mergeCell ref="A3:D3"/>
    <mergeCell ref="A16:D16"/>
    <mergeCell ref="A10:D10"/>
    <mergeCell ref="A28:D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30" customWidth="1" min="4" max="4"/>
    <col width="20" customWidth="1" min="5" max="5"/>
  </cols>
  <sheetData>
    <row r="1">
      <c r="A1" s="20" t="inlineStr">
        <is>
          <t>ALERTES ATTENDUES — Seuils &amp; Déclencheurs</t>
        </is>
      </c>
    </row>
    <row r="2">
      <c r="A2" s="7" t="inlineStr">
        <is>
          <t>KPI</t>
        </is>
      </c>
      <c r="B2" s="7" t="inlineStr">
        <is>
          <t>Seuil Warn</t>
        </is>
      </c>
      <c r="C2" s="7" t="inlineStr">
        <is>
          <t>Seuil Critical</t>
        </is>
      </c>
      <c r="D2" s="7" t="inlineStr">
        <is>
          <t>Condition déclencheur</t>
        </is>
      </c>
      <c r="E2" s="7" t="inlineStr">
        <is>
          <t>Statut attendu</t>
        </is>
      </c>
    </row>
    <row r="3" ht="22" customHeight="1">
      <c r="A3" s="41" t="inlineStr">
        <is>
          <t>Runway Trésorerie</t>
        </is>
      </c>
      <c r="B3" s="51" t="inlineStr">
        <is>
          <t>&lt; 8 semaines</t>
        </is>
      </c>
      <c r="C3" s="52" t="inlineStr">
        <is>
          <t>&lt; 4 semaines</t>
        </is>
      </c>
      <c r="D3" s="41" t="inlineStr">
        <is>
          <t>Si sorties &gt; entrées plusieurs mois</t>
        </is>
      </c>
      <c r="E3" s="41" t="inlineStr">
        <is>
          <t>WARN si runway entre 4-8 sem</t>
        </is>
      </c>
    </row>
    <row r="4" ht="22" customHeight="1">
      <c r="A4" s="43" t="inlineStr">
        <is>
          <t>Marge EBITDA</t>
        </is>
      </c>
      <c r="B4" s="53" t="inlineStr">
        <is>
          <t>&lt; 10%</t>
        </is>
      </c>
      <c r="C4" s="54" t="inlineStr">
        <is>
          <t>&lt; 5%</t>
        </is>
      </c>
      <c r="D4" s="43" t="inlineStr">
        <is>
          <t>Marge actuelle = 17.2%</t>
        </is>
      </c>
      <c r="E4" s="43" t="inlineStr">
        <is>
          <t>OK si marge &gt; 10%</t>
        </is>
      </c>
    </row>
    <row r="5" ht="22" customHeight="1">
      <c r="A5" s="41" t="inlineStr">
        <is>
          <t>Variance Budget CA</t>
        </is>
      </c>
      <c r="B5" s="51" t="inlineStr">
        <is>
          <t>&gt; 10%</t>
        </is>
      </c>
      <c r="C5" s="52" t="inlineStr">
        <is>
          <t>&gt; 20%</t>
        </is>
      </c>
      <c r="D5" s="41" t="inlineStr">
        <is>
          <t>Si réel &lt; 90% du budget VENTES</t>
        </is>
      </c>
      <c r="E5" s="41" t="inlineStr">
        <is>
          <t>À calculer après KPIs</t>
        </is>
      </c>
    </row>
    <row r="6" ht="22" customHeight="1">
      <c r="A6" s="43" t="inlineStr">
        <is>
          <t>DSO Clients</t>
        </is>
      </c>
      <c r="B6" s="53" t="inlineStr">
        <is>
          <t>&gt; 60 jours</t>
        </is>
      </c>
      <c r="C6" s="54" t="inlineStr">
        <is>
          <t>&gt; 90 jours</t>
        </is>
      </c>
      <c r="D6" s="43" t="inlineStr">
        <is>
          <t>Si clients paient après 60 jours</t>
        </is>
      </c>
      <c r="E6" s="43" t="inlineStr">
        <is>
          <t>OK si DSO &lt; 45j</t>
        </is>
      </c>
    </row>
    <row r="7" ht="22" customHeight="1">
      <c r="A7" s="41" t="inlineStr">
        <is>
          <t>Charges / CA</t>
        </is>
      </c>
      <c r="B7" s="51" t="inlineStr">
        <is>
          <t>&gt; 80%</t>
        </is>
      </c>
      <c r="C7" s="52" t="inlineStr">
        <is>
          <t>&gt; 90%</t>
        </is>
      </c>
      <c r="D7" s="41" t="inlineStr">
        <is>
          <t>Ratio actuel = 82.8%</t>
        </is>
      </c>
      <c r="E7" s="41" t="inlineStr">
        <is>
          <t>OK si &lt; 80%</t>
        </is>
      </c>
    </row>
    <row r="8" ht="22" customHeight="1">
      <c r="A8" s="43" t="inlineStr">
        <is>
          <t>Current Ratio</t>
        </is>
      </c>
      <c r="B8" s="53" t="inlineStr">
        <is>
          <t>&lt; 1.5x</t>
        </is>
      </c>
      <c r="C8" s="54" t="inlineStr">
        <is>
          <t>&lt; 1.0x</t>
        </is>
      </c>
      <c r="D8" s="43" t="inlineStr">
        <is>
          <t>Si passif CT &gt; actif CT</t>
        </is>
      </c>
      <c r="E8" s="43" t="inlineStr">
        <is>
          <t>OK si ratio &gt; 1.5x</t>
        </is>
      </c>
    </row>
    <row r="9" ht="22" customHeight="1">
      <c r="A9" s="41" t="inlineStr">
        <is>
          <t>Masse salariale / CA</t>
        </is>
      </c>
      <c r="B9" s="51" t="inlineStr">
        <is>
          <t>&gt; 35%</t>
        </is>
      </c>
      <c r="C9" s="52" t="inlineStr">
        <is>
          <t>&gt; 45%</t>
        </is>
      </c>
      <c r="D9" s="41" t="inlineStr">
        <is>
          <t>Ratio actuel = 20.1%</t>
        </is>
      </c>
      <c r="E9" s="41" t="inlineStr">
        <is>
          <t>Surveiller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20" customWidth="1" min="4" max="4"/>
  </cols>
  <sheetData>
    <row r="1">
      <c r="A1" s="20" t="inlineStr">
        <is>
          <t>GUIDE DE TEST — Procédure étape par étape</t>
        </is>
      </c>
    </row>
    <row r="2">
      <c r="A2" s="7" t="inlineStr">
        <is>
          <t>Étape</t>
        </is>
      </c>
      <c r="B2" s="7" t="inlineStr">
        <is>
          <t>Action</t>
        </is>
      </c>
      <c r="C2" s="7" t="inlineStr">
        <is>
          <t>Détail</t>
        </is>
      </c>
      <c r="D2" s="7" t="inlineStr">
        <is>
          <t>Résultat attendu</t>
        </is>
      </c>
    </row>
    <row r="3" ht="40" customHeight="1">
      <c r="A3" s="55" t="inlineStr">
        <is>
          <t>1</t>
        </is>
      </c>
      <c r="B3" s="56" t="inlineStr">
        <is>
          <t>Créer le budget</t>
        </is>
      </c>
      <c r="C3" s="56" t="inlineStr">
        <is>
          <t>Saisir les 17 lignes de la feuille 1_BUDGET
Nom : Budget FY2026 SARL Industrie</t>
        </is>
      </c>
      <c r="D3" s="57" t="inlineStr">
        <is>
          <t>Budget DRAFT créé</t>
        </is>
      </c>
    </row>
    <row r="4" ht="40" customHeight="1">
      <c r="A4" s="58" t="inlineStr">
        <is>
          <t>2</t>
        </is>
      </c>
      <c r="B4" s="59" t="inlineStr">
        <is>
          <t>Soumettre et approuver</t>
        </is>
      </c>
      <c r="C4" s="59" t="inlineStr">
        <is>
          <t>FPA soumet → SUPER_ADMIN approuve → Verrouiller</t>
        </is>
      </c>
      <c r="D4" s="60" t="inlineStr">
        <is>
          <t>Budget LOCKED ✅</t>
        </is>
      </c>
    </row>
    <row r="5" ht="40" customHeight="1">
      <c r="A5" s="55" t="inlineStr">
        <is>
          <t>3</t>
        </is>
      </c>
      <c r="B5" s="56" t="inlineStr">
        <is>
          <t>Importer les transactions</t>
        </is>
      </c>
      <c r="C5" s="56" t="inlineStr">
        <is>
          <t>Utiliser le fichier 2_TRANSACTIONS
Importer période par période (P01→P12)</t>
        </is>
      </c>
      <c r="D5" s="57" t="inlineStr">
        <is>
          <t>156 transactions importées</t>
        </is>
      </c>
    </row>
    <row r="6" ht="40" customHeight="1">
      <c r="A6" s="58" t="inlineStr">
        <is>
          <t>4</t>
        </is>
      </c>
      <c r="B6" s="59" t="inlineStr">
        <is>
          <t>Valider les transactions</t>
        </is>
      </c>
      <c r="C6" s="59" t="inlineStr">
        <is>
          <t>Sélectionner tout → Valider en batch</t>
        </is>
      </c>
      <c r="D6" s="60" t="inlineStr">
        <is>
          <t>Toutes transactions validées ✅</t>
        </is>
      </c>
    </row>
    <row r="7" ht="40" customHeight="1">
      <c r="A7" s="55" t="inlineStr">
        <is>
          <t>5</t>
        </is>
      </c>
      <c r="B7" s="56" t="inlineStr">
        <is>
          <t>Calculer les KPIs</t>
        </is>
      </c>
      <c r="C7" s="56" t="inlineStr">
        <is>
          <t>Page KPIs → Sélectionner chaque période
→ Cliquer Calculer les KPIs</t>
        </is>
      </c>
      <c r="D7" s="57" t="inlineStr">
        <is>
          <t>14 KPIs calculés par période</t>
        </is>
      </c>
    </row>
    <row r="8" ht="40" customHeight="1">
      <c r="A8" s="58" t="inlineStr">
        <is>
          <t>6</t>
        </is>
      </c>
      <c r="B8" s="59" t="inlineStr">
        <is>
          <t>Vérifier le Dashboard</t>
        </is>
      </c>
      <c r="C8" s="59" t="inlineStr">
        <is>
          <t>Sélectionner YTD → Vérifier les valeurs
vs feuille 5_SORTIES_ATTENDUES</t>
        </is>
      </c>
      <c r="D8" s="60" t="inlineStr">
        <is>
          <t>CA, EBITDA, Marge conformes</t>
        </is>
      </c>
    </row>
    <row r="9" ht="40" customHeight="1">
      <c r="A9" s="55" t="inlineStr">
        <is>
          <t>7</t>
        </is>
      </c>
      <c r="B9" s="56" t="inlineStr">
        <is>
          <t>Saisir les flux Cash Flow</t>
        </is>
      </c>
      <c r="C9" s="56" t="inlineStr">
        <is>
          <t>Saisir les 16 flux de la feuille 3_CASH_FLOW</t>
        </is>
      </c>
      <c r="D9" s="57" t="inlineStr">
        <is>
          <t>Runway calculé automatiquement</t>
        </is>
      </c>
    </row>
    <row r="10" ht="40" customHeight="1">
      <c r="A10" s="58" t="inlineStr">
        <is>
          <t>8</t>
        </is>
      </c>
      <c r="B10" s="59" t="inlineStr">
        <is>
          <t>Créer les 3 scénarios</t>
        </is>
      </c>
      <c r="C10" s="59" t="inlineStr">
        <is>
          <t>Créer BASE, OPTIMISTE, PESSIMISTE
Saisir hypothèses de la feuille 4_SCENARIOS</t>
        </is>
      </c>
      <c r="D10" s="60" t="inlineStr">
        <is>
          <t>3 scénarios calculés</t>
        </is>
      </c>
    </row>
    <row r="11" ht="40" customHeight="1">
      <c r="A11" s="55" t="inlineStr">
        <is>
          <t>9</t>
        </is>
      </c>
      <c r="B11" s="56" t="inlineStr">
        <is>
          <t>Comparer les scénarios</t>
        </is>
      </c>
      <c r="C11" s="56" t="inlineStr">
        <is>
          <t>Sélectionner 3 scénarios → Comparer</t>
        </is>
      </c>
      <c r="D11" s="57" t="inlineStr">
        <is>
          <t>Vue comparaison 3 colonnes</t>
        </is>
      </c>
    </row>
    <row r="12" ht="40" customHeight="1">
      <c r="A12" s="58" t="inlineStr">
        <is>
          <t>10</t>
        </is>
      </c>
      <c r="B12" s="59" t="inlineStr">
        <is>
          <t>Vérifier les alertes</t>
        </is>
      </c>
      <c r="C12" s="59" t="inlineStr">
        <is>
          <t>Page Alertes → Vérifier les alertes
vs feuille 6_ALERTES_ATTENDUES</t>
        </is>
      </c>
      <c r="D12" s="60" t="inlineStr">
        <is>
          <t>Alertes conformes aux seuils</t>
        </is>
      </c>
    </row>
    <row r="13" ht="40" customHeight="1">
      <c r="A13" s="55" t="inlineStr">
        <is>
          <t>11</t>
        </is>
      </c>
      <c r="B13" s="56" t="inlineStr">
        <is>
          <t>Générer les rapports</t>
        </is>
      </c>
      <c r="C13" s="56" t="inlineStr">
        <is>
          <t>Page Rapports → Télécharger :
- Compte de Résultat Excel
- Bilan Excel
- Flux Trésorerie PDF</t>
        </is>
      </c>
      <c r="D13" s="57" t="inlineStr">
        <is>
          <t>3 fichiers SYSCOHADA corrects</t>
        </is>
      </c>
    </row>
    <row r="14" ht="40" customHeight="1">
      <c r="A14" s="58" t="inlineStr">
        <is>
          <t>12</t>
        </is>
      </c>
      <c r="B14" s="59" t="inlineStr">
        <is>
          <t>Vérifier états financiers</t>
        </is>
      </c>
      <c r="C14" s="59" t="inlineStr">
        <is>
          <t>Comparer XB, XD, XI avec
feuille 5_SORTIES_ATTENDUES
Vérifier équilibre bilan</t>
        </is>
      </c>
      <c r="D14" s="60" t="inlineStr">
        <is>
          <t>Bilan équilibré ✅
Écart &lt; 0.01 FCFA</t>
        </is>
      </c>
    </row>
    <row r="15" ht="40" customHeight="1">
      <c r="A15" s="55" t="inlineStr">
        <is>
          <t>13</t>
        </is>
      </c>
      <c r="B15" s="56" t="inlineStr">
        <is>
          <t>Tester les ratios</t>
        </is>
      </c>
      <c r="C15" s="56" t="inlineStr">
        <is>
          <t>Page KPIs → Onglet Liquidité
Vérifier Current Ratio, Quick Ratio
vs feuille 5_SORTIES_ATTENDUES</t>
        </is>
      </c>
      <c r="D15" s="57" t="inlineStr">
        <is>
          <t>Ratios dans les fourchettes</t>
        </is>
      </c>
    </row>
    <row r="16" ht="40" customHeight="1">
      <c r="A16" s="58" t="inlineStr">
        <is>
          <t>14</t>
        </is>
      </c>
      <c r="B16" s="59" t="inlineStr">
        <is>
          <t>Clôturer une période</t>
        </is>
      </c>
      <c r="C16" s="59" t="inlineStr">
        <is>
          <t>Dashboard → Clôturer P01 Janvier
(toutes transactions validées)</t>
        </is>
      </c>
      <c r="D16" s="60" t="inlineStr">
        <is>
          <t>P01 CLOSED → P02 OPEN</t>
        </is>
      </c>
    </row>
    <row r="17" ht="40" customHeight="1">
      <c r="A17" s="55" t="inlineStr">
        <is>
          <t>15</t>
        </is>
      </c>
      <c r="B17" s="56" t="inlineStr">
        <is>
          <t>Test de régression</t>
        </is>
      </c>
      <c r="C17" s="56" t="inlineStr">
        <is>
          <t>Modifier une transaction → Recalculer KPIs
Vérifier que les états se mettent à jour</t>
        </is>
      </c>
      <c r="D17" s="57" t="inlineStr">
        <is>
          <t>KPIs recalculés correctement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2026-03-24T15:42:45Z</dcterms:created>
  <dcterms:modified xmlns:dcterms="http://purl.org/dc/terms/" xmlns:xsi="http://www.w3.org/2001/XMLSchema-instance" xsi:type="dcterms:W3CDTF">2026-03-24T15:42:45Z</dcterms:modified>
</cp:coreProperties>
</file>